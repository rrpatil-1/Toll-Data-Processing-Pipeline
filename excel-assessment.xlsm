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https://d.docs.live.net/192e4a6c5cfb07c8/Desktop/GitHub/MapUp-Data-Assessment-E/"/>
    </mc:Choice>
  </mc:AlternateContent>
  <xr:revisionPtr revIDLastSave="28" documentId="13_ncr:1_{48EB4397-F178-E54E-B28D-22A41FCA72D2}" xr6:coauthVersionLast="47" xr6:coauthVersionMax="47" xr10:uidLastSave="{4E31CE6C-FB32-483D-A56D-46DA9801C1ED}"/>
  <bookViews>
    <workbookView xWindow="-120" yWindow="-120" windowWidth="20730" windowHeight="11160" tabRatio="849" activeTab="1"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81029"/>
</workbook>
</file>

<file path=xl/calcChain.xml><?xml version="1.0" encoding="utf-8"?>
<calcChain xmlns="http://schemas.openxmlformats.org/spreadsheetml/2006/main">
  <c r="C24" i="20" l="1"/>
  <c r="C25" i="20"/>
  <c r="C26" i="20"/>
  <c r="C27" i="20"/>
  <c r="C28" i="20"/>
  <c r="C29" i="20"/>
  <c r="C30" i="20"/>
  <c r="C31" i="20"/>
  <c r="C32" i="20"/>
  <c r="C33" i="20"/>
  <c r="C34" i="20"/>
  <c r="C35" i="20"/>
  <c r="C23" i="20"/>
  <c r="C22" i="19"/>
  <c r="H41" i="1" l="1"/>
  <c r="C6" i="15"/>
  <c r="C5" i="15"/>
  <c r="D7" i="18"/>
  <c r="E7" i="18"/>
  <c r="F7" i="18"/>
  <c r="D8" i="18"/>
  <c r="E8" i="18"/>
  <c r="F8" i="18"/>
  <c r="D9" i="18"/>
  <c r="E9" i="18"/>
  <c r="F9" i="18"/>
  <c r="D10" i="18"/>
  <c r="E10" i="18"/>
  <c r="F10" i="18"/>
  <c r="D11" i="18"/>
  <c r="E11" i="18"/>
  <c r="F11" i="18"/>
  <c r="D12" i="18"/>
  <c r="E12" i="18"/>
  <c r="F12" i="18"/>
  <c r="D13" i="18"/>
  <c r="E13" i="18"/>
  <c r="F13" i="18"/>
  <c r="D14" i="18"/>
  <c r="E14" i="18"/>
  <c r="F14" i="18"/>
  <c r="D15" i="18"/>
  <c r="E15" i="18"/>
  <c r="F15" i="18"/>
  <c r="D16" i="18"/>
  <c r="E16" i="18"/>
  <c r="F16" i="18"/>
  <c r="D17" i="18"/>
  <c r="E17" i="18"/>
  <c r="F17" i="18"/>
  <c r="D18" i="18"/>
  <c r="E18" i="18"/>
  <c r="F18" i="18"/>
  <c r="D19" i="18"/>
  <c r="E19" i="18"/>
  <c r="F19" i="18"/>
  <c r="D20" i="18"/>
  <c r="E20" i="18"/>
  <c r="F20" i="18"/>
  <c r="D21" i="18"/>
  <c r="E21" i="18"/>
  <c r="F21" i="18"/>
  <c r="D22" i="18"/>
  <c r="E22" i="18"/>
  <c r="F22" i="18"/>
  <c r="D23" i="18"/>
  <c r="E23" i="18"/>
  <c r="F23" i="18"/>
  <c r="D24" i="18"/>
  <c r="E24" i="18"/>
  <c r="F24" i="18"/>
  <c r="D25" i="18"/>
  <c r="E25" i="18"/>
  <c r="F25" i="18"/>
  <c r="D26" i="18"/>
  <c r="E26" i="18"/>
  <c r="F26" i="18"/>
  <c r="D27" i="18"/>
  <c r="E27" i="18"/>
  <c r="F27" i="18"/>
  <c r="F6" i="18"/>
  <c r="F28" i="18" s="1"/>
  <c r="E6" i="18"/>
  <c r="E30" i="18" s="1"/>
  <c r="D6" i="18"/>
  <c r="D30" i="18" s="1"/>
  <c r="C7" i="18"/>
  <c r="C8" i="18"/>
  <c r="C9" i="18"/>
  <c r="C10" i="18"/>
  <c r="C11" i="18"/>
  <c r="C12" i="18"/>
  <c r="C13" i="18"/>
  <c r="C14" i="18"/>
  <c r="C15" i="18"/>
  <c r="C16" i="18"/>
  <c r="C17" i="18"/>
  <c r="C18" i="18"/>
  <c r="C19" i="18"/>
  <c r="C20" i="18"/>
  <c r="C21" i="18"/>
  <c r="C22" i="18"/>
  <c r="C23" i="18"/>
  <c r="C24" i="18"/>
  <c r="C25" i="18"/>
  <c r="C26" i="18"/>
  <c r="C27" i="18"/>
  <c r="C6" i="18"/>
  <c r="C29" i="18" s="1"/>
  <c r="B7" i="18"/>
  <c r="B8" i="18"/>
  <c r="B9" i="18"/>
  <c r="B10" i="18"/>
  <c r="B11" i="18"/>
  <c r="B12" i="18"/>
  <c r="B13" i="18"/>
  <c r="B14" i="18"/>
  <c r="B15" i="18"/>
  <c r="B16" i="18"/>
  <c r="B17" i="18"/>
  <c r="B18" i="18"/>
  <c r="B19" i="18"/>
  <c r="B20" i="18"/>
  <c r="B21" i="18"/>
  <c r="B22" i="18"/>
  <c r="B23" i="18"/>
  <c r="B24" i="18"/>
  <c r="B25" i="18"/>
  <c r="B26" i="18"/>
  <c r="B27" i="18"/>
  <c r="B6" i="18"/>
  <c r="B29" i="18" s="1"/>
  <c r="D28" i="18" l="1"/>
  <c r="F29" i="18"/>
  <c r="B30" i="18"/>
  <c r="C30" i="18"/>
  <c r="E28" i="18"/>
  <c r="E29" i="18"/>
  <c r="F30" i="18"/>
  <c r="B28" i="18"/>
  <c r="D29" i="18"/>
  <c r="C28" i="18"/>
</calcChain>
</file>

<file path=xl/sharedStrings.xml><?xml version="1.0" encoding="utf-8"?>
<sst xmlns="http://schemas.openxmlformats.org/spreadsheetml/2006/main" count="406" uniqueCount="183">
  <si>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</si>
  <si>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</si>
  <si>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</si>
  <si>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</si>
  <si>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</si>
  <si>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</si>
  <si>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</si>
  <si>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</si>
  <si>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</si>
  <si>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</si>
  <si>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</si>
  <si>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</si>
  <si>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</si>
  <si>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</si>
  <si>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</si>
  <si>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</si>
  <si>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</si>
  <si>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</si>
  <si>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</si>
  <si>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</si>
  <si>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</si>
  <si>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</si>
  <si>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</si>
  <si>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</si>
  <si>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</si>
  <si>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</si>
  <si>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</si>
  <si>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</si>
  <si>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</si>
  <si>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</si>
  <si>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</si>
  <si>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</si>
  <si>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</si>
  <si>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</si>
  <si>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</si>
  <si>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</si>
  <si>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</si>
  <si>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</si>
  <si>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</si>
  <si>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</si>
  <si>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</si>
  <si>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</si>
  <si>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</si>
  <si>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</si>
  <si>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</si>
  <si>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</si>
  <si>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</si>
  <si>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</si>
  <si>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</si>
  <si>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</si>
  <si>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</si>
  <si>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</si>
  <si>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</si>
  <si>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</si>
  <si>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</si>
  <si>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</si>
  <si>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</si>
  <si>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</si>
  <si>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</si>
  <si>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</si>
  <si>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</si>
  <si>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</si>
  <si>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</si>
  <si>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</si>
  <si>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</si>
  <si>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</si>
  <si>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</si>
  <si>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</si>
  <si>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</si>
  <si>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</si>
  <si>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</si>
  <si>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</si>
  <si>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</si>
  <si>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</si>
  <si>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</si>
  <si>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</si>
  <si>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</si>
  <si>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</si>
  <si>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</si>
  <si>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</si>
  <si>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</si>
  <si>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</si>
  <si>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</si>
  <si>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</si>
  <si>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</si>
  <si>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</si>
  <si>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</si>
  <si>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</si>
  <si>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</si>
  <si>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</si>
  <si>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</si>
  <si>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</si>
  <si>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</si>
  <si>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</si>
  <si>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</si>
  <si>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</si>
  <si>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</si>
  <si>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</si>
  <si>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</si>
  <si>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</si>
  <si>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</si>
  <si>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</si>
  <si>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</si>
  <si>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</si>
  <si>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</si>
  <si>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</si>
  <si>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</si>
  <si>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</si>
  <si>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</si>
  <si>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</si>
  <si>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</si>
  <si>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</si>
  <si>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</si>
  <si>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</si>
  <si>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</si>
  <si>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</si>
  <si>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</si>
  <si>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</si>
  <si>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</si>
  <si>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</si>
  <si>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</si>
  <si>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</si>
  <si>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</si>
  <si>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</si>
  <si>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</si>
  <si>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</si>
  <si>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</si>
  <si>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</si>
  <si>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</si>
  <si>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</si>
  <si>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</si>
  <si>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</si>
  <si>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</si>
  <si>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</si>
  <si>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</si>
  <si>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</si>
  <si>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</si>
  <si>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</si>
  <si>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</si>
  <si>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</si>
  <si>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</si>
  <si>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</si>
  <si>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</si>
  <si>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</si>
  <si>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</si>
  <si>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</si>
  <si>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</si>
  <si>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</si>
  <si>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</si>
  <si>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</si>
  <si>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</si>
  <si>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</si>
  <si>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</si>
  <si>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</si>
  <si>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</si>
  <si>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</si>
  <si>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</si>
  <si>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</si>
  <si>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</si>
  <si>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</si>
  <si>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</si>
  <si>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</si>
  <si>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</si>
  <si>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</si>
  <si>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</si>
  <si>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</si>
  <si>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</si>
  <si>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</si>
  <si>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</si>
  <si>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</si>
  <si>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</si>
  <si>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</si>
  <si>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</si>
  <si>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</si>
  <si>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</si>
  <si>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</si>
  <si>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</si>
  <si>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1. select the values in Table_A exclude the header .
2. Click on Data Menu select the Text to Columns from Data Tools.
3. follow the instruction from attached images.</t>
  </si>
  <si>
    <t>Text to Columns functionality from Data Menu</t>
  </si>
  <si>
    <t>1. (SUMIF(C12:C21, "&lt;&gt;#N/A", C12:C21) + COUNTIF(C12:C21, "#N/A") * 20)</t>
  </si>
  <si>
    <t>1.First sum the other values excluding #N/A using sumif function and then use the countif function to calculate the number of #N/A values and mutiply it with 20 
2. do the addition of both result get the desired result.</t>
  </si>
  <si>
    <t>INDEX($A$9:$J$18,MATCH(VLOOKUP(A23,$M$10:$N$18,2,0), $A$9:$J$9, 0),MATCH(VLOOKUP(B23,$M$10:$N$18,2,0),$A$9:$A$18,0))
Vlookup, match, index</t>
  </si>
  <si>
    <t>1.VLOOKUP to find the NAME base on name_1 and name_2
2. MATCH will return the index from array of values for value you want to find
3.INDEX function return the value base on row and column index
4.We have use $ before and after column to fix the lookup range for Table_A and Table_B
5.Only changing the lookup value in Table_C 
6.In this way for each row in Table_C we are getting Name for ID using VLOOKUP from Table_B then getting index of Name in Table_C using MATCH function and passing the index of row and column in INDEX function that return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</si>
</sst>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5">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1">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2" fontId="3" fillId="0" borderId="7" xfId="0" applyNumberFormat="1" applyFont="1" applyBorder="1"/>
    <xf numFmtId="0" fontId="15" fillId="0" borderId="0" xfId="0" applyFont="1" applyAlignment="1"/>
    <xf numFmtId="0" fontId="3" fillId="0" borderId="0" xfId="0" applyFont="1" applyBorder="1"/>
    <xf numFmtId="0" fontId="3" fillId="0" borderId="0" xfId="0" applyFont="1" applyBorder="1" applyAlignment="1">
      <alignment horizontal="center"/>
    </xf>
    <xf numFmtId="165" fontId="7" fillId="0" borderId="0" xfId="0" applyNumberFormat="1" applyFont="1"/>
    <xf numFmtId="165" fontId="3" fillId="0" borderId="0" xfId="0" applyNumberFormat="1" applyFont="1"/>
    <xf numFmtId="0" fontId="3" fillId="0" borderId="0" xfId="0" applyFont="1" applyAlignment="1"/>
    <xf numFmtId="0" fontId="8" fillId="0" borderId="0" xfId="0" applyFont="1" applyAlignme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7</xdr:col>
      <xdr:colOff>33057</xdr:colOff>
      <xdr:row>8</xdr:row>
      <xdr:rowOff>67236</xdr:rowOff>
    </xdr:from>
    <xdr:to>
      <xdr:col>22</xdr:col>
      <xdr:colOff>219074</xdr:colOff>
      <xdr:row>49</xdr:row>
      <xdr:rowOff>61072</xdr:rowOff>
    </xdr:to>
    <xdr:grpSp>
      <xdr:nvGrpSpPr>
        <xdr:cNvPr id="45" name="Group 44">
          <a:extLst>
            <a:ext uri="{FF2B5EF4-FFF2-40B4-BE49-F238E27FC236}">
              <a16:creationId xmlns:a16="http://schemas.microsoft.com/office/drawing/2014/main" id="{0B8F7073-6BC7-C853-1FEC-049A241CCBB9}"/>
            </a:ext>
          </a:extLst>
        </xdr:cNvPr>
        <xdr:cNvGrpSpPr/>
      </xdr:nvGrpSpPr>
      <xdr:grpSpPr>
        <a:xfrm>
          <a:off x="6073028" y="1770530"/>
          <a:ext cx="9598958" cy="8006042"/>
          <a:chOff x="6106646" y="1815353"/>
          <a:chExt cx="9598958" cy="8006042"/>
        </a:xfrm>
      </xdr:grpSpPr>
      <xdr:grpSp>
        <xdr:nvGrpSpPr>
          <xdr:cNvPr id="11" name="Group 10">
            <a:extLst>
              <a:ext uri="{FF2B5EF4-FFF2-40B4-BE49-F238E27FC236}">
                <a16:creationId xmlns:a16="http://schemas.microsoft.com/office/drawing/2014/main" id="{8828C413-4598-40CA-8619-27BC79312B4C}"/>
              </a:ext>
            </a:extLst>
          </xdr:cNvPr>
          <xdr:cNvGrpSpPr/>
        </xdr:nvGrpSpPr>
        <xdr:grpSpPr>
          <a:xfrm>
            <a:off x="6106646" y="2709022"/>
            <a:ext cx="4592730" cy="3878356"/>
            <a:chOff x="1181100" y="1643262"/>
            <a:chExt cx="3674132" cy="2995413"/>
          </a:xfrm>
        </xdr:grpSpPr>
        <xdr:grpSp>
          <xdr:nvGrpSpPr>
            <xdr:cNvPr id="12" name="Group 11">
              <a:extLst>
                <a:ext uri="{FF2B5EF4-FFF2-40B4-BE49-F238E27FC236}">
                  <a16:creationId xmlns:a16="http://schemas.microsoft.com/office/drawing/2014/main" id="{06607E41-AE35-1CE4-50DC-0A92A9939373}"/>
                </a:ext>
              </a:extLst>
            </xdr:cNvPr>
            <xdr:cNvGrpSpPr/>
          </xdr:nvGrpSpPr>
          <xdr:grpSpPr>
            <a:xfrm>
              <a:off x="1181100" y="1643262"/>
              <a:ext cx="3674132" cy="2995413"/>
              <a:chOff x="1323975" y="1681362"/>
              <a:chExt cx="3674132" cy="2995413"/>
            </a:xfrm>
          </xdr:grpSpPr>
          <xdr:grpSp>
            <xdr:nvGrpSpPr>
              <xdr:cNvPr id="16" name="Group 15">
                <a:extLst>
                  <a:ext uri="{FF2B5EF4-FFF2-40B4-BE49-F238E27FC236}">
                    <a16:creationId xmlns:a16="http://schemas.microsoft.com/office/drawing/2014/main" id="{063DADFC-BBB9-5EA5-66C0-36AF0ABA4BCC}"/>
                  </a:ext>
                </a:extLst>
              </xdr:cNvPr>
              <xdr:cNvGrpSpPr/>
            </xdr:nvGrpSpPr>
            <xdr:grpSpPr>
              <a:xfrm>
                <a:off x="1323975" y="1681362"/>
                <a:ext cx="3674132" cy="2995413"/>
                <a:chOff x="1962150" y="1671837"/>
                <a:chExt cx="3674132" cy="2995413"/>
              </a:xfrm>
            </xdr:grpSpPr>
            <xdr:pic>
              <xdr:nvPicPr>
                <xdr:cNvPr id="18" name="Picture 17">
                  <a:extLst>
                    <a:ext uri="{FF2B5EF4-FFF2-40B4-BE49-F238E27FC236}">
                      <a16:creationId xmlns:a16="http://schemas.microsoft.com/office/drawing/2014/main" id="{7D6D2DE2-B526-72B9-BAF4-8A6FD2D6A63B}"/>
                    </a:ext>
                  </a:extLst>
                </xdr:cNvPr>
                <xdr:cNvPicPr>
                  <a:picLocks noChangeAspect="1"/>
                </xdr:cNvPicPr>
              </xdr:nvPicPr>
              <xdr:blipFill>
                <a:blip xmlns:r="http://schemas.openxmlformats.org/officeDocument/2006/relationships" r:embed="rId1"/>
                <a:stretch>
                  <a:fillRect/>
                </a:stretch>
              </xdr:blipFill>
              <xdr:spPr>
                <a:xfrm>
                  <a:off x="1962150" y="1671837"/>
                  <a:ext cx="3674132" cy="2995413"/>
                </a:xfrm>
                <a:prstGeom prst="rect">
                  <a:avLst/>
                </a:prstGeom>
              </xdr:spPr>
            </xdr:pic>
            <xdr:cxnSp macro="">
              <xdr:nvCxnSpPr>
                <xdr:cNvPr id="19" name="Straight Arrow Connector 18">
                  <a:extLst>
                    <a:ext uri="{FF2B5EF4-FFF2-40B4-BE49-F238E27FC236}">
                      <a16:creationId xmlns:a16="http://schemas.microsoft.com/office/drawing/2014/main" id="{A7ADC92E-4924-0E8F-D3DE-8A08FF712C4A}"/>
                    </a:ext>
                  </a:extLst>
                </xdr:cNvPr>
                <xdr:cNvCxnSpPr/>
              </xdr:nvCxnSpPr>
              <xdr:spPr>
                <a:xfrm flipV="1">
                  <a:off x="2724150" y="1943100"/>
                  <a:ext cx="847725" cy="50482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grpSp>
          <xdr:cxnSp macro="">
            <xdr:nvCxnSpPr>
              <xdr:cNvPr id="17" name="Straight Arrow Connector 16">
                <a:extLst>
                  <a:ext uri="{FF2B5EF4-FFF2-40B4-BE49-F238E27FC236}">
                    <a16:creationId xmlns:a16="http://schemas.microsoft.com/office/drawing/2014/main" id="{7361391D-7648-F2EC-5E88-B549CC7F028B}"/>
                  </a:ext>
                </a:extLst>
              </xdr:cNvPr>
              <xdr:cNvCxnSpPr/>
            </xdr:nvCxnSpPr>
            <xdr:spPr>
              <a:xfrm flipV="1">
                <a:off x="2428875" y="3333750"/>
                <a:ext cx="200025" cy="104775"/>
              </a:xfrm>
              <a:prstGeom prst="straightConnector1">
                <a:avLst/>
              </a:prstGeom>
              <a:ln w="12700">
                <a:tailEnd type="triangle"/>
              </a:ln>
            </xdr:spPr>
            <xdr:style>
              <a:lnRef idx="1">
                <a:schemeClr val="dk1"/>
              </a:lnRef>
              <a:fillRef idx="0">
                <a:schemeClr val="dk1"/>
              </a:fillRef>
              <a:effectRef idx="0">
                <a:schemeClr val="dk1"/>
              </a:effectRef>
              <a:fontRef idx="minor">
                <a:schemeClr val="tx1"/>
              </a:fontRef>
            </xdr:style>
          </xdr:cxnSp>
        </xdr:grpSp>
        <xdr:sp macro="" textlink="">
          <xdr:nvSpPr>
            <xdr:cNvPr id="13" name="TextBox 12">
              <a:extLst>
                <a:ext uri="{FF2B5EF4-FFF2-40B4-BE49-F238E27FC236}">
                  <a16:creationId xmlns:a16="http://schemas.microsoft.com/office/drawing/2014/main" id="{DCDBBD1B-0D9B-F3BF-34F7-2C53809BB431}"/>
                </a:ext>
              </a:extLst>
            </xdr:cNvPr>
            <xdr:cNvSpPr txBox="1"/>
          </xdr:nvSpPr>
          <xdr:spPr>
            <a:xfrm>
              <a:off x="2343150" y="3295650"/>
              <a:ext cx="28866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accent1"/>
                  </a:solidFill>
                </a:rPr>
                <a:t>2</a:t>
              </a:r>
            </a:p>
          </xdr:txBody>
        </xdr:sp>
        <xdr:sp macro="" textlink="">
          <xdr:nvSpPr>
            <xdr:cNvPr id="14" name="TextBox 13">
              <a:extLst>
                <a:ext uri="{FF2B5EF4-FFF2-40B4-BE49-F238E27FC236}">
                  <a16:creationId xmlns:a16="http://schemas.microsoft.com/office/drawing/2014/main" id="{CC80B51A-F60D-6516-9DB8-BFDE44BBDFD0}"/>
                </a:ext>
              </a:extLst>
            </xdr:cNvPr>
            <xdr:cNvSpPr txBox="1"/>
          </xdr:nvSpPr>
          <xdr:spPr>
            <a:xfrm>
              <a:off x="2828925" y="1704975"/>
              <a:ext cx="28866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accent1"/>
                  </a:solidFill>
                </a:rPr>
                <a:t>1</a:t>
              </a:r>
            </a:p>
          </xdr:txBody>
        </xdr:sp>
        <xdr:sp macro="" textlink="">
          <xdr:nvSpPr>
            <xdr:cNvPr id="15" name="TextBox 14">
              <a:extLst>
                <a:ext uri="{FF2B5EF4-FFF2-40B4-BE49-F238E27FC236}">
                  <a16:creationId xmlns:a16="http://schemas.microsoft.com/office/drawing/2014/main" id="{22396EE7-C9B6-3400-E88B-1DC1ED4F8577}"/>
                </a:ext>
              </a:extLst>
            </xdr:cNvPr>
            <xdr:cNvSpPr txBox="1"/>
          </xdr:nvSpPr>
          <xdr:spPr>
            <a:xfrm>
              <a:off x="4105275" y="4038600"/>
              <a:ext cx="28866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accent1"/>
                  </a:solidFill>
                </a:rPr>
                <a:t>3</a:t>
              </a:r>
            </a:p>
          </xdr:txBody>
        </xdr:sp>
      </xdr:grpSp>
      <xdr:grpSp>
        <xdr:nvGrpSpPr>
          <xdr:cNvPr id="20" name="Group 19">
            <a:extLst>
              <a:ext uri="{FF2B5EF4-FFF2-40B4-BE49-F238E27FC236}">
                <a16:creationId xmlns:a16="http://schemas.microsoft.com/office/drawing/2014/main" id="{826BCA47-CD82-4A20-8223-688B7576CA6E}"/>
              </a:ext>
            </a:extLst>
          </xdr:cNvPr>
          <xdr:cNvGrpSpPr/>
        </xdr:nvGrpSpPr>
        <xdr:grpSpPr>
          <a:xfrm>
            <a:off x="11255748" y="2947146"/>
            <a:ext cx="4449856" cy="3811681"/>
            <a:chOff x="5153026" y="1983631"/>
            <a:chExt cx="3048000" cy="2474614"/>
          </a:xfrm>
        </xdr:grpSpPr>
        <xdr:pic>
          <xdr:nvPicPr>
            <xdr:cNvPr id="21" name="Picture 20">
              <a:extLst>
                <a:ext uri="{FF2B5EF4-FFF2-40B4-BE49-F238E27FC236}">
                  <a16:creationId xmlns:a16="http://schemas.microsoft.com/office/drawing/2014/main" id="{DD9F3954-78FD-EB21-55B3-C34434351D92}"/>
                </a:ext>
              </a:extLst>
            </xdr:cNvPr>
            <xdr:cNvPicPr>
              <a:picLocks noChangeAspect="1"/>
            </xdr:cNvPicPr>
          </xdr:nvPicPr>
          <xdr:blipFill>
            <a:blip xmlns:r="http://schemas.openxmlformats.org/officeDocument/2006/relationships" r:embed="rId2"/>
            <a:stretch>
              <a:fillRect/>
            </a:stretch>
          </xdr:blipFill>
          <xdr:spPr>
            <a:xfrm>
              <a:off x="5153026" y="1983631"/>
              <a:ext cx="3048000" cy="2474614"/>
            </a:xfrm>
            <a:prstGeom prst="rect">
              <a:avLst/>
            </a:prstGeom>
          </xdr:spPr>
        </xdr:pic>
        <xdr:sp macro="" textlink="">
          <xdr:nvSpPr>
            <xdr:cNvPr id="22" name="TextBox 21">
              <a:extLst>
                <a:ext uri="{FF2B5EF4-FFF2-40B4-BE49-F238E27FC236}">
                  <a16:creationId xmlns:a16="http://schemas.microsoft.com/office/drawing/2014/main" id="{2052F4D1-D954-5B4E-3C57-0D447D2DCDA1}"/>
                </a:ext>
              </a:extLst>
            </xdr:cNvPr>
            <xdr:cNvSpPr txBox="1"/>
          </xdr:nvSpPr>
          <xdr:spPr>
            <a:xfrm>
              <a:off x="5324476" y="3050431"/>
              <a:ext cx="28866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solidFill>
                    <a:schemeClr val="accent1"/>
                  </a:solidFill>
                </a:rPr>
                <a:t>4</a:t>
              </a:r>
            </a:p>
          </xdr:txBody>
        </xdr:sp>
        <xdr:grpSp>
          <xdr:nvGrpSpPr>
            <xdr:cNvPr id="23" name="Group 22">
              <a:extLst>
                <a:ext uri="{FF2B5EF4-FFF2-40B4-BE49-F238E27FC236}">
                  <a16:creationId xmlns:a16="http://schemas.microsoft.com/office/drawing/2014/main" id="{BD677187-7046-F80C-8862-0BE27DC94860}"/>
                </a:ext>
              </a:extLst>
            </xdr:cNvPr>
            <xdr:cNvGrpSpPr/>
          </xdr:nvGrpSpPr>
          <xdr:grpSpPr>
            <a:xfrm>
              <a:off x="5219701" y="3086100"/>
              <a:ext cx="2269869" cy="1219200"/>
              <a:chOff x="5219701" y="3086100"/>
              <a:chExt cx="2269869" cy="1219200"/>
            </a:xfrm>
          </xdr:grpSpPr>
          <xdr:cxnSp macro="">
            <xdr:nvCxnSpPr>
              <xdr:cNvPr id="26" name="Straight Arrow Connector 25">
                <a:extLst>
                  <a:ext uri="{FF2B5EF4-FFF2-40B4-BE49-F238E27FC236}">
                    <a16:creationId xmlns:a16="http://schemas.microsoft.com/office/drawing/2014/main" id="{8B60F0BE-C5F1-82E5-0FAD-44C2FE6168BB}"/>
                  </a:ext>
                </a:extLst>
              </xdr:cNvPr>
              <xdr:cNvCxnSpPr/>
            </xdr:nvCxnSpPr>
            <xdr:spPr>
              <a:xfrm flipV="1">
                <a:off x="5219701" y="3086100"/>
                <a:ext cx="295274" cy="2024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xnSp macro="">
            <xdr:nvCxnSpPr>
              <xdr:cNvPr id="27" name="Straight Arrow Connector 26">
                <a:extLst>
                  <a:ext uri="{FF2B5EF4-FFF2-40B4-BE49-F238E27FC236}">
                    <a16:creationId xmlns:a16="http://schemas.microsoft.com/office/drawing/2014/main" id="{9EB2E13C-A9A3-E399-8F75-267978AB165C}"/>
                  </a:ext>
                </a:extLst>
              </xdr:cNvPr>
              <xdr:cNvCxnSpPr/>
            </xdr:nvCxnSpPr>
            <xdr:spPr>
              <a:xfrm>
                <a:off x="6781801" y="3650506"/>
                <a:ext cx="542924" cy="6547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sp macro="" textlink="">
            <xdr:nvSpPr>
              <xdr:cNvPr id="28" name="TextBox 27">
                <a:extLst>
                  <a:ext uri="{FF2B5EF4-FFF2-40B4-BE49-F238E27FC236}">
                    <a16:creationId xmlns:a16="http://schemas.microsoft.com/office/drawing/2014/main" id="{03749CA5-74AA-2138-0A24-50924BF1AED3}"/>
                  </a:ext>
                </a:extLst>
              </xdr:cNvPr>
              <xdr:cNvSpPr txBox="1"/>
            </xdr:nvSpPr>
            <xdr:spPr>
              <a:xfrm>
                <a:off x="7200901" y="3812431"/>
                <a:ext cx="28866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solidFill>
                      <a:schemeClr val="accent1"/>
                    </a:solidFill>
                  </a:rPr>
                  <a:t>6</a:t>
                </a:r>
              </a:p>
            </xdr:txBody>
          </xdr:sp>
        </xdr:grpSp>
        <xdr:sp macro="" textlink="">
          <xdr:nvSpPr>
            <xdr:cNvPr id="24" name="TextBox 23">
              <a:extLst>
                <a:ext uri="{FF2B5EF4-FFF2-40B4-BE49-F238E27FC236}">
                  <a16:creationId xmlns:a16="http://schemas.microsoft.com/office/drawing/2014/main" id="{710D6B36-8CFC-1F92-9056-B2DF5330041F}"/>
                </a:ext>
              </a:extLst>
            </xdr:cNvPr>
            <xdr:cNvSpPr txBox="1"/>
          </xdr:nvSpPr>
          <xdr:spPr>
            <a:xfrm>
              <a:off x="5772151" y="2898031"/>
              <a:ext cx="28866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solidFill>
                    <a:schemeClr val="accent1"/>
                  </a:solidFill>
                </a:rPr>
                <a:t>5 </a:t>
              </a:r>
            </a:p>
          </xdr:txBody>
        </xdr:sp>
        <xdr:sp macro="" textlink="">
          <xdr:nvSpPr>
            <xdr:cNvPr id="25" name="TextBox 24">
              <a:extLst>
                <a:ext uri="{FF2B5EF4-FFF2-40B4-BE49-F238E27FC236}">
                  <a16:creationId xmlns:a16="http://schemas.microsoft.com/office/drawing/2014/main" id="{D23D6E7A-9324-611F-87C8-E0F3969A1D90}"/>
                </a:ext>
              </a:extLst>
            </xdr:cNvPr>
            <xdr:cNvSpPr txBox="1"/>
          </xdr:nvSpPr>
          <xdr:spPr>
            <a:xfrm>
              <a:off x="6010276" y="2955181"/>
              <a:ext cx="164782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900" b="0">
                  <a:solidFill>
                    <a:sysClr val="windowText" lastClr="000000"/>
                  </a:solidFill>
                </a:rPr>
                <a:t>use</a:t>
              </a:r>
              <a:r>
                <a:rPr lang="en-US" sz="900" b="0" baseline="0">
                  <a:solidFill>
                    <a:sysClr val="windowText" lastClr="000000"/>
                  </a:solidFill>
                </a:rPr>
                <a:t> seperator in this case "-"</a:t>
              </a:r>
              <a:endParaRPr lang="en-US" sz="900" b="0">
                <a:solidFill>
                  <a:sysClr val="windowText" lastClr="000000"/>
                </a:solidFill>
              </a:endParaRPr>
            </a:p>
          </xdr:txBody>
        </xdr:sp>
      </xdr:grpSp>
      <xdr:grpSp>
        <xdr:nvGrpSpPr>
          <xdr:cNvPr id="29" name="Group 28">
            <a:extLst>
              <a:ext uri="{FF2B5EF4-FFF2-40B4-BE49-F238E27FC236}">
                <a16:creationId xmlns:a16="http://schemas.microsoft.com/office/drawing/2014/main" id="{DF7AB0CA-B8ED-4A8A-8C73-76D9014C8185}"/>
              </a:ext>
            </a:extLst>
          </xdr:cNvPr>
          <xdr:cNvGrpSpPr/>
        </xdr:nvGrpSpPr>
        <xdr:grpSpPr>
          <a:xfrm>
            <a:off x="6118972" y="6754345"/>
            <a:ext cx="4744011" cy="3067050"/>
            <a:chOff x="2045049" y="5343524"/>
            <a:chExt cx="3747090" cy="2324681"/>
          </a:xfrm>
        </xdr:grpSpPr>
        <xdr:pic>
          <xdr:nvPicPr>
            <xdr:cNvPr id="30" name="Picture 29">
              <a:extLst>
                <a:ext uri="{FF2B5EF4-FFF2-40B4-BE49-F238E27FC236}">
                  <a16:creationId xmlns:a16="http://schemas.microsoft.com/office/drawing/2014/main" id="{E28CDDC6-F1AD-A2FC-3642-E27ADDC96926}"/>
                </a:ext>
              </a:extLst>
            </xdr:cNvPr>
            <xdr:cNvPicPr>
              <a:picLocks noChangeAspect="1"/>
            </xdr:cNvPicPr>
          </xdr:nvPicPr>
          <xdr:blipFill>
            <a:blip xmlns:r="http://schemas.openxmlformats.org/officeDocument/2006/relationships" r:embed="rId3"/>
            <a:stretch>
              <a:fillRect/>
            </a:stretch>
          </xdr:blipFill>
          <xdr:spPr>
            <a:xfrm>
              <a:off x="2045049" y="5343524"/>
              <a:ext cx="3747090" cy="2324681"/>
            </a:xfrm>
            <a:prstGeom prst="rect">
              <a:avLst/>
            </a:prstGeom>
          </xdr:spPr>
        </xdr:pic>
        <xdr:sp macro="" textlink="">
          <xdr:nvSpPr>
            <xdr:cNvPr id="31" name="TextBox 30">
              <a:extLst>
                <a:ext uri="{FF2B5EF4-FFF2-40B4-BE49-F238E27FC236}">
                  <a16:creationId xmlns:a16="http://schemas.microsoft.com/office/drawing/2014/main" id="{467AE993-0003-7DFB-B900-AD421BEF7EF9}"/>
                </a:ext>
              </a:extLst>
            </xdr:cNvPr>
            <xdr:cNvSpPr txBox="1"/>
          </xdr:nvSpPr>
          <xdr:spPr>
            <a:xfrm>
              <a:off x="4845399" y="6857999"/>
              <a:ext cx="28866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solidFill>
                    <a:schemeClr val="accent1"/>
                  </a:solidFill>
                </a:rPr>
                <a:t>8 </a:t>
              </a:r>
            </a:p>
          </xdr:txBody>
        </xdr:sp>
        <xdr:sp macro="" textlink="">
          <xdr:nvSpPr>
            <xdr:cNvPr id="32" name="TextBox 31">
              <a:extLst>
                <a:ext uri="{FF2B5EF4-FFF2-40B4-BE49-F238E27FC236}">
                  <a16:creationId xmlns:a16="http://schemas.microsoft.com/office/drawing/2014/main" id="{A9D0E30C-EAE5-1B0C-1452-3FE6AD44AC01}"/>
                </a:ext>
              </a:extLst>
            </xdr:cNvPr>
            <xdr:cNvSpPr txBox="1"/>
          </xdr:nvSpPr>
          <xdr:spPr>
            <a:xfrm>
              <a:off x="2988024" y="6372224"/>
              <a:ext cx="28866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solidFill>
                    <a:schemeClr val="accent1"/>
                  </a:solidFill>
                </a:rPr>
                <a:t>7 </a:t>
              </a:r>
            </a:p>
          </xdr:txBody>
        </xdr:sp>
        <xdr:cxnSp macro="">
          <xdr:nvCxnSpPr>
            <xdr:cNvPr id="33" name="Straight Arrow Connector 32">
              <a:extLst>
                <a:ext uri="{FF2B5EF4-FFF2-40B4-BE49-F238E27FC236}">
                  <a16:creationId xmlns:a16="http://schemas.microsoft.com/office/drawing/2014/main" id="{E1E73402-EC3D-8E49-6540-E7C3BB02C5C7}"/>
                </a:ext>
              </a:extLst>
            </xdr:cNvPr>
            <xdr:cNvCxnSpPr/>
          </xdr:nvCxnSpPr>
          <xdr:spPr>
            <a:xfrm flipV="1">
              <a:off x="2590800" y="6391275"/>
              <a:ext cx="542925" cy="5715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xnSp macro="">
          <xdr:nvCxnSpPr>
            <xdr:cNvPr id="34" name="Straight Arrow Connector 33">
              <a:extLst>
                <a:ext uri="{FF2B5EF4-FFF2-40B4-BE49-F238E27FC236}">
                  <a16:creationId xmlns:a16="http://schemas.microsoft.com/office/drawing/2014/main" id="{A30D0C8A-4275-2B4B-27BF-B978BA70D2AE}"/>
                </a:ext>
              </a:extLst>
            </xdr:cNvPr>
            <xdr:cNvCxnSpPr/>
          </xdr:nvCxnSpPr>
          <xdr:spPr>
            <a:xfrm>
              <a:off x="5191125" y="7200900"/>
              <a:ext cx="359123" cy="39761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grpSp>
      <xdr:grpSp>
        <xdr:nvGrpSpPr>
          <xdr:cNvPr id="35" name="Group 34">
            <a:extLst>
              <a:ext uri="{FF2B5EF4-FFF2-40B4-BE49-F238E27FC236}">
                <a16:creationId xmlns:a16="http://schemas.microsoft.com/office/drawing/2014/main" id="{81FBD954-6075-4C4E-86BA-B4A3C4BD310C}"/>
              </a:ext>
            </a:extLst>
          </xdr:cNvPr>
          <xdr:cNvGrpSpPr/>
        </xdr:nvGrpSpPr>
        <xdr:grpSpPr>
          <a:xfrm>
            <a:off x="11533655" y="7096685"/>
            <a:ext cx="3765176" cy="1581150"/>
            <a:chOff x="7315200" y="5524500"/>
            <a:chExt cx="3305636" cy="1076475"/>
          </a:xfrm>
        </xdr:grpSpPr>
        <xdr:pic>
          <xdr:nvPicPr>
            <xdr:cNvPr id="36" name="Picture 35">
              <a:extLst>
                <a:ext uri="{FF2B5EF4-FFF2-40B4-BE49-F238E27FC236}">
                  <a16:creationId xmlns:a16="http://schemas.microsoft.com/office/drawing/2014/main" id="{443826DF-460D-A06B-4022-0B2917DA92FB}"/>
                </a:ext>
              </a:extLst>
            </xdr:cNvPr>
            <xdr:cNvPicPr>
              <a:picLocks noChangeAspect="1"/>
            </xdr:cNvPicPr>
          </xdr:nvPicPr>
          <xdr:blipFill>
            <a:blip xmlns:r="http://schemas.openxmlformats.org/officeDocument/2006/relationships" r:embed="rId4"/>
            <a:stretch>
              <a:fillRect/>
            </a:stretch>
          </xdr:blipFill>
          <xdr:spPr>
            <a:xfrm>
              <a:off x="7315200" y="5524500"/>
              <a:ext cx="3305636" cy="1076475"/>
            </a:xfrm>
            <a:prstGeom prst="rect">
              <a:avLst/>
            </a:prstGeom>
          </xdr:spPr>
        </xdr:pic>
        <xdr:cxnSp macro="">
          <xdr:nvCxnSpPr>
            <xdr:cNvPr id="37" name="Straight Arrow Connector 36">
              <a:extLst>
                <a:ext uri="{FF2B5EF4-FFF2-40B4-BE49-F238E27FC236}">
                  <a16:creationId xmlns:a16="http://schemas.microsoft.com/office/drawing/2014/main" id="{CE2CCFFA-39D2-0253-6ECC-4D6FBADF5B83}"/>
                </a:ext>
              </a:extLst>
            </xdr:cNvPr>
            <xdr:cNvCxnSpPr/>
          </xdr:nvCxnSpPr>
          <xdr:spPr>
            <a:xfrm flipV="1">
              <a:off x="8162925" y="6388844"/>
              <a:ext cx="219074" cy="21198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sp macro="" textlink="">
          <xdr:nvSpPr>
            <xdr:cNvPr id="38" name="TextBox 37">
              <a:extLst>
                <a:ext uri="{FF2B5EF4-FFF2-40B4-BE49-F238E27FC236}">
                  <a16:creationId xmlns:a16="http://schemas.microsoft.com/office/drawing/2014/main" id="{30EE86E1-8FD8-D43C-C1E7-3BE1DB77B5AF}"/>
                </a:ext>
              </a:extLst>
            </xdr:cNvPr>
            <xdr:cNvSpPr txBox="1"/>
          </xdr:nvSpPr>
          <xdr:spPr>
            <a:xfrm>
              <a:off x="7905750" y="6210300"/>
              <a:ext cx="28866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solidFill>
                    <a:schemeClr val="accent1"/>
                  </a:solidFill>
                </a:rPr>
                <a:t>9 </a:t>
              </a:r>
            </a:p>
          </xdr:txBody>
        </xdr:sp>
      </xdr:grpSp>
      <xdr:grpSp>
        <xdr:nvGrpSpPr>
          <xdr:cNvPr id="44" name="Group 43">
            <a:extLst>
              <a:ext uri="{FF2B5EF4-FFF2-40B4-BE49-F238E27FC236}">
                <a16:creationId xmlns:a16="http://schemas.microsoft.com/office/drawing/2014/main" id="{469392C5-2382-FF62-CB6C-63AFB0033ADC}"/>
              </a:ext>
            </a:extLst>
          </xdr:cNvPr>
          <xdr:cNvGrpSpPr/>
        </xdr:nvGrpSpPr>
        <xdr:grpSpPr>
          <a:xfrm>
            <a:off x="6118414" y="1815353"/>
            <a:ext cx="7104528" cy="994634"/>
            <a:chOff x="2902325" y="806824"/>
            <a:chExt cx="7104528" cy="994634"/>
          </a:xfrm>
        </xdr:grpSpPr>
        <xdr:pic>
          <xdr:nvPicPr>
            <xdr:cNvPr id="40" name="Picture 39">
              <a:extLst>
                <a:ext uri="{FF2B5EF4-FFF2-40B4-BE49-F238E27FC236}">
                  <a16:creationId xmlns:a16="http://schemas.microsoft.com/office/drawing/2014/main" id="{4FF6942C-2289-EB98-4D60-722C85396E9A}"/>
                </a:ext>
              </a:extLst>
            </xdr:cNvPr>
            <xdr:cNvPicPr>
              <a:picLocks noChangeAspect="1"/>
            </xdr:cNvPicPr>
          </xdr:nvPicPr>
          <xdr:blipFill>
            <a:blip xmlns:r="http://schemas.openxmlformats.org/officeDocument/2006/relationships" r:embed="rId5"/>
            <a:stretch>
              <a:fillRect/>
            </a:stretch>
          </xdr:blipFill>
          <xdr:spPr>
            <a:xfrm>
              <a:off x="2902325" y="806824"/>
              <a:ext cx="7104528" cy="994634"/>
            </a:xfrm>
            <a:prstGeom prst="rect">
              <a:avLst/>
            </a:prstGeom>
          </xdr:spPr>
        </xdr:pic>
        <xdr:cxnSp macro="">
          <xdr:nvCxnSpPr>
            <xdr:cNvPr id="41" name="Straight Arrow Connector 40">
              <a:extLst>
                <a:ext uri="{FF2B5EF4-FFF2-40B4-BE49-F238E27FC236}">
                  <a16:creationId xmlns:a16="http://schemas.microsoft.com/office/drawing/2014/main" id="{F187F8BA-8B4C-425C-B9E8-A370EDCD75D3}"/>
                </a:ext>
              </a:extLst>
            </xdr:cNvPr>
            <xdr:cNvCxnSpPr/>
          </xdr:nvCxnSpPr>
          <xdr:spPr>
            <a:xfrm>
              <a:off x="5558118" y="986118"/>
              <a:ext cx="3328147" cy="48185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grp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C6" sqref="C6"/>
    </sheetView>
  </sheetViews>
  <sheetFormatPr defaultColWidth="11" defaultRowHeight="12.75" x14ac:dyDescent="0.2"/>
  <cols>
    <col min="1" max="1" width="70.83203125" style="2" bestFit="1" customWidth="1"/>
    <col min="2" max="16384" width="11" style="2"/>
  </cols>
  <sheetData>
    <row r="1" spans="1:3" ht="18.75" x14ac:dyDescent="0.3">
      <c r="A1" s="38" t="s">
        <v>108</v>
      </c>
    </row>
    <row r="2" spans="1:3" x14ac:dyDescent="0.2">
      <c r="A2" s="2" t="s">
        <v>109</v>
      </c>
    </row>
    <row r="3" spans="1:3" x14ac:dyDescent="0.2">
      <c r="A3" s="2" t="s">
        <v>110</v>
      </c>
    </row>
    <row r="4" spans="1:3" ht="15" x14ac:dyDescent="0.25">
      <c r="A4" s="2" t="s">
        <v>111</v>
      </c>
      <c r="C4" s="1"/>
    </row>
    <row r="5" spans="1:3" x14ac:dyDescent="0.2">
      <c r="A5" s="2" t="s">
        <v>152</v>
      </c>
    </row>
    <row r="8" spans="1:3" x14ac:dyDescent="0.2">
      <c r="A8" s="2" t="s">
        <v>173</v>
      </c>
    </row>
    <row r="9" spans="1:3" x14ac:dyDescent="0.2">
      <c r="A9" s="35" t="s">
        <v>171</v>
      </c>
      <c r="B9" s="26" t="s">
        <v>169</v>
      </c>
    </row>
    <row r="10" spans="1:3" x14ac:dyDescent="0.2">
      <c r="A10" s="34" t="s">
        <v>172</v>
      </c>
      <c r="B10" s="36">
        <v>25</v>
      </c>
    </row>
    <row r="11" spans="1:3" x14ac:dyDescent="0.2">
      <c r="A11" s="34" t="s">
        <v>55</v>
      </c>
      <c r="B11" s="36">
        <v>30</v>
      </c>
    </row>
    <row r="12" spans="1:3" x14ac:dyDescent="0.2">
      <c r="A12" s="34" t="s">
        <v>56</v>
      </c>
      <c r="B12" s="36">
        <v>10</v>
      </c>
    </row>
    <row r="13" spans="1:3" x14ac:dyDescent="0.2">
      <c r="A13" s="34" t="s">
        <v>85</v>
      </c>
      <c r="B13" s="36">
        <v>20</v>
      </c>
    </row>
    <row r="14" spans="1:3" x14ac:dyDescent="0.2">
      <c r="A14" s="34" t="s">
        <v>98</v>
      </c>
      <c r="B14" s="36">
        <v>40</v>
      </c>
    </row>
    <row r="15" spans="1:3" x14ac:dyDescent="0.2">
      <c r="A15" s="37" t="s">
        <v>170</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tabSelected="1" topLeftCell="B1" zoomScaleNormal="100" workbookViewId="0">
      <pane ySplit="1" topLeftCell="A26" activePane="bottomLeft" state="frozen"/>
      <selection pane="bottomLeft" activeCell="H42" sqref="H42"/>
    </sheetView>
  </sheetViews>
  <sheetFormatPr defaultColWidth="9" defaultRowHeight="15" x14ac:dyDescent="0.25"/>
  <cols>
    <col min="1" max="1" width="25.33203125" style="1" bestFit="1" customWidth="1"/>
    <col min="2" max="2" width="7.33203125" style="1" bestFit="1" customWidth="1"/>
    <col min="3" max="3" width="9.83203125" style="1" bestFit="1" customWidth="1"/>
    <col min="4" max="4" width="11" style="24" customWidth="1"/>
    <col min="5" max="5" width="9.1640625" style="1" bestFit="1" customWidth="1"/>
    <col min="6" max="6" width="10.33203125" style="24"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7" style="48" customWidth="1"/>
    <col min="25" max="16384" width="9" style="1"/>
  </cols>
  <sheetData>
    <row r="1" spans="1:24" s="3" customFormat="1" ht="14.85" customHeight="1" x14ac:dyDescent="0.25">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7" t="s">
        <v>105</v>
      </c>
    </row>
    <row r="2" spans="1:24" x14ac:dyDescent="0.25">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8">
        <v>45051</v>
      </c>
    </row>
    <row r="3" spans="1:24" x14ac:dyDescent="0.25">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8">
        <v>45048</v>
      </c>
    </row>
    <row r="4" spans="1:24" x14ac:dyDescent="0.25">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8">
        <v>45055</v>
      </c>
    </row>
    <row r="5" spans="1:24" x14ac:dyDescent="0.25">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8">
        <v>45059</v>
      </c>
    </row>
    <row r="6" spans="1:24" x14ac:dyDescent="0.25">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8">
        <v>45076</v>
      </c>
    </row>
    <row r="7" spans="1:24" x14ac:dyDescent="0.25">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8">
        <v>45057</v>
      </c>
    </row>
    <row r="8" spans="1:24" x14ac:dyDescent="0.25">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8">
        <v>45052</v>
      </c>
    </row>
    <row r="9" spans="1:24" x14ac:dyDescent="0.25">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8">
        <v>45098</v>
      </c>
    </row>
    <row r="10" spans="1:24" x14ac:dyDescent="0.25">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8">
        <v>45092</v>
      </c>
    </row>
    <row r="11" spans="1:24" x14ac:dyDescent="0.25">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8">
        <v>45104</v>
      </c>
    </row>
    <row r="12" spans="1:24" x14ac:dyDescent="0.25">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8">
        <v>45116</v>
      </c>
    </row>
    <row r="13" spans="1:24" x14ac:dyDescent="0.25">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8">
        <v>45110</v>
      </c>
    </row>
    <row r="14" spans="1:24" x14ac:dyDescent="0.25">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8">
        <v>45095</v>
      </c>
    </row>
    <row r="15" spans="1:24" x14ac:dyDescent="0.25">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8">
        <v>45113</v>
      </c>
    </row>
    <row r="16" spans="1:24" x14ac:dyDescent="0.25">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8">
        <v>45063</v>
      </c>
    </row>
    <row r="17" spans="1:24" x14ac:dyDescent="0.25">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8">
        <v>45071</v>
      </c>
    </row>
    <row r="18" spans="1:24" x14ac:dyDescent="0.25">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8">
        <v>45085</v>
      </c>
    </row>
    <row r="19" spans="1:24" x14ac:dyDescent="0.25">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8">
        <v>45099</v>
      </c>
    </row>
    <row r="20" spans="1:24" x14ac:dyDescent="0.25">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8">
        <v>45091</v>
      </c>
    </row>
    <row r="21" spans="1:24" x14ac:dyDescent="0.25">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8">
        <v>45079</v>
      </c>
    </row>
    <row r="22" spans="1:24" x14ac:dyDescent="0.25">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8">
        <v>45075</v>
      </c>
    </row>
    <row r="23" spans="1:24" x14ac:dyDescent="0.25">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8">
        <v>45110</v>
      </c>
    </row>
    <row r="24" spans="1:24" x14ac:dyDescent="0.25">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8">
        <v>45114</v>
      </c>
    </row>
    <row r="25" spans="1:24" x14ac:dyDescent="0.25">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8">
        <v>45118</v>
      </c>
    </row>
    <row r="26" spans="1:24" x14ac:dyDescent="0.25">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8">
        <v>45142</v>
      </c>
    </row>
    <row r="27" spans="1:24" x14ac:dyDescent="0.25">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8">
        <v>45146</v>
      </c>
    </row>
    <row r="28" spans="1:24" x14ac:dyDescent="0.25">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8">
        <v>45108</v>
      </c>
    </row>
    <row r="29" spans="1:24" x14ac:dyDescent="0.25">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8">
        <v>45153</v>
      </c>
    </row>
    <row r="30" spans="1:24" x14ac:dyDescent="0.25">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8">
        <v>45150</v>
      </c>
    </row>
    <row r="31" spans="1:24" x14ac:dyDescent="0.25">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8">
        <v>45157</v>
      </c>
    </row>
    <row r="32" spans="1:24" x14ac:dyDescent="0.25">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8">
        <v>45143</v>
      </c>
    </row>
    <row r="33" spans="1:24" x14ac:dyDescent="0.25">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8">
        <v>45166</v>
      </c>
    </row>
    <row r="34" spans="1:24" x14ac:dyDescent="0.25">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8">
        <v>45162</v>
      </c>
    </row>
    <row r="35" spans="1:24" x14ac:dyDescent="0.25">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8">
        <v>45160</v>
      </c>
    </row>
    <row r="36" spans="1:24" x14ac:dyDescent="0.25">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8">
        <v>45179</v>
      </c>
    </row>
    <row r="37" spans="1:24" x14ac:dyDescent="0.25">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8">
        <v>45157</v>
      </c>
    </row>
    <row r="38" spans="1:24" x14ac:dyDescent="0.25">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8">
        <v>45143</v>
      </c>
    </row>
    <row r="39" spans="1:24" x14ac:dyDescent="0.25">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8">
        <v>45166</v>
      </c>
    </row>
    <row r="40" spans="1:24" x14ac:dyDescent="0.25">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8">
        <v>45162</v>
      </c>
    </row>
    <row r="41" spans="1:24" x14ac:dyDescent="0.25">
      <c r="H41" s="1">
        <f>SUMIF(H2:H40,"&gt;20")</f>
        <v>1473.0000000000002</v>
      </c>
    </row>
  </sheetData>
  <autoFilter ref="A1:X40" xr:uid="{00000000-0001-0000-0000-000000000000}"/>
  <conditionalFormatting sqref="A1:A1048576">
    <cfRule type="duplicateValues" dxfId="3" priority="6"/>
  </conditionalFormatting>
  <conditionalFormatting sqref="B1:B1048576">
    <cfRule type="duplicateValues" dxfId="2" priority="5"/>
  </conditionalFormatting>
  <conditionalFormatting sqref="G1:W40">
    <cfRule type="cellIs" dxfId="1" priority="1" operator="equal">
      <formula>-1</formula>
    </cfRule>
    <cfRule type="cellIs" dxfId="0" priority="2"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5" sqref="C5"/>
    </sheetView>
  </sheetViews>
  <sheetFormatPr defaultColWidth="11" defaultRowHeight="15" x14ac:dyDescent="0.25"/>
  <cols>
    <col min="1" max="1" width="8.33203125" style="1" bestFit="1" customWidth="1"/>
    <col min="2" max="2" width="65.83203125" style="1" bestFit="1" customWidth="1"/>
    <col min="3" max="3" width="27.6640625" style="1" bestFit="1" customWidth="1"/>
    <col min="4" max="4" width="11" style="1"/>
    <col min="5" max="5" width="14.33203125" style="1" bestFit="1" customWidth="1"/>
    <col min="6" max="16384" width="11" style="1"/>
  </cols>
  <sheetData>
    <row r="1" spans="1:5" x14ac:dyDescent="0.25">
      <c r="A1" s="4" t="s">
        <v>47</v>
      </c>
      <c r="B1" s="4" t="s">
        <v>48</v>
      </c>
      <c r="C1" s="4" t="s">
        <v>44</v>
      </c>
      <c r="E1" s="4" t="s">
        <v>176</v>
      </c>
    </row>
    <row r="2" spans="1:5" x14ac:dyDescent="0.25">
      <c r="A2" s="2"/>
      <c r="B2" s="5" t="s">
        <v>160</v>
      </c>
      <c r="C2" s="2"/>
    </row>
    <row r="3" spans="1:5" x14ac:dyDescent="0.25">
      <c r="A3" s="6">
        <v>1</v>
      </c>
      <c r="B3" s="2" t="s">
        <v>107</v>
      </c>
      <c r="C3" s="2" t="s">
        <v>45</v>
      </c>
      <c r="E3" s="1">
        <v>5</v>
      </c>
    </row>
    <row r="4" spans="1:5" x14ac:dyDescent="0.25">
      <c r="A4" s="6">
        <v>2</v>
      </c>
      <c r="B4" s="2" t="s">
        <v>46</v>
      </c>
      <c r="C4" s="2"/>
      <c r="E4" s="1">
        <v>5</v>
      </c>
    </row>
    <row r="5" spans="1:5" x14ac:dyDescent="0.25">
      <c r="A5" s="6">
        <v>3</v>
      </c>
      <c r="B5" s="2" t="s">
        <v>104</v>
      </c>
      <c r="C5" s="33">
        <f>SUMIF(Dataset!H2:H40,"&gt;20")</f>
        <v>1473.0000000000002</v>
      </c>
      <c r="E5" s="1">
        <v>10</v>
      </c>
    </row>
    <row r="6" spans="1:5" x14ac:dyDescent="0.25">
      <c r="A6" s="6">
        <v>4</v>
      </c>
      <c r="B6" s="2" t="s">
        <v>106</v>
      </c>
      <c r="C6" s="2" t="str">
        <f>TEXT(Dataset!X2,"yyyy-mm-dd")</f>
        <v>2023-05-05</v>
      </c>
      <c r="E6" s="1">
        <v>5</v>
      </c>
    </row>
    <row r="7" spans="1:5" x14ac:dyDescent="0.25">
      <c r="A7" s="2"/>
      <c r="B7" s="2"/>
      <c r="C7" s="2"/>
    </row>
    <row r="13" spans="1:5" x14ac:dyDescent="0.25">
      <c r="E13" s="2"/>
    </row>
    <row r="14" spans="1:5" x14ac:dyDescent="0.2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B6" sqref="B6"/>
    </sheetView>
  </sheetViews>
  <sheetFormatPr defaultColWidth="11" defaultRowHeight="12.75" x14ac:dyDescent="0.2"/>
  <cols>
    <col min="1" max="1" width="18.6640625" style="2" bestFit="1" customWidth="1"/>
    <col min="2" max="6" width="15.33203125" style="2" customWidth="1"/>
    <col min="7" max="7" width="11" style="2"/>
    <col min="8" max="8" width="14.33203125" style="2" bestFit="1" customWidth="1"/>
    <col min="9" max="16384" width="11" style="2"/>
  </cols>
  <sheetData>
    <row r="1" spans="1:7" s="40" customFormat="1" ht="21" x14ac:dyDescent="0.35">
      <c r="A1" s="41" t="s">
        <v>55</v>
      </c>
      <c r="B1" s="40" t="s">
        <v>164</v>
      </c>
    </row>
    <row r="2" spans="1:7" s="40" customFormat="1" ht="21" x14ac:dyDescent="0.35">
      <c r="B2" s="40" t="s">
        <v>161</v>
      </c>
    </row>
    <row r="3" spans="1:7" ht="15" x14ac:dyDescent="0.25">
      <c r="A3" s="1"/>
      <c r="B3" s="1"/>
      <c r="C3" s="1"/>
      <c r="D3" s="1"/>
      <c r="E3" s="1"/>
      <c r="F3" s="1"/>
      <c r="G3" s="1"/>
    </row>
    <row r="4" spans="1:7" ht="23.25" x14ac:dyDescent="0.35">
      <c r="A4" s="18" t="s">
        <v>162</v>
      </c>
      <c r="B4" s="1"/>
      <c r="C4" s="1"/>
      <c r="D4" s="1"/>
      <c r="E4" s="1"/>
      <c r="F4" s="1"/>
      <c r="G4" s="1"/>
    </row>
    <row r="5" spans="1:7" ht="15" x14ac:dyDescent="0.25">
      <c r="A5" s="20" t="s">
        <v>64</v>
      </c>
      <c r="B5" s="21" t="s">
        <v>79</v>
      </c>
      <c r="C5" s="22" t="s">
        <v>71</v>
      </c>
      <c r="D5" s="21" t="s">
        <v>75</v>
      </c>
      <c r="E5" s="22" t="s">
        <v>76</v>
      </c>
      <c r="F5" s="23" t="s">
        <v>77</v>
      </c>
    </row>
    <row r="6" spans="1:7" ht="15" x14ac:dyDescent="0.25">
      <c r="A6" s="7" t="s">
        <v>40</v>
      </c>
      <c r="B6" s="12">
        <f>VLOOKUP(A6,Dataset!A:X,7,0)</f>
        <v>2.7</v>
      </c>
      <c r="C6" s="12">
        <f>VLOOKUP(A6,Dataset!A:X,14,0)</f>
        <v>7.6</v>
      </c>
      <c r="D6" s="12">
        <f>VLOOKUP(A6,Dataset!A:X,18,0)</f>
        <v>4.2</v>
      </c>
      <c r="E6" s="12">
        <f>VLOOKUP(A6,Dataset!A:X,20,0)</f>
        <v>8.9</v>
      </c>
      <c r="F6" s="8">
        <f>VLOOKUP(A6,Dataset!A:X,22,0)</f>
        <v>4.2</v>
      </c>
    </row>
    <row r="7" spans="1:7" ht="15" x14ac:dyDescent="0.25">
      <c r="A7" s="7" t="s">
        <v>4</v>
      </c>
      <c r="B7" s="12">
        <f>VLOOKUP(A7,Dataset!A:X,7,0)</f>
        <v>2.7</v>
      </c>
      <c r="C7" s="12">
        <f>VLOOKUP(A7,Dataset!A:X,14,0)</f>
        <v>7.6</v>
      </c>
      <c r="D7" s="12">
        <f>VLOOKUP(A7,Dataset!A:X,18,0)</f>
        <v>4.2</v>
      </c>
      <c r="E7" s="12">
        <f>VLOOKUP(A7,Dataset!A:X,20,0)</f>
        <v>8.9</v>
      </c>
      <c r="F7" s="8">
        <f>VLOOKUP(A7,Dataset!A:X,22,0)</f>
        <v>4.2</v>
      </c>
    </row>
    <row r="8" spans="1:7" ht="15" x14ac:dyDescent="0.25">
      <c r="A8" s="7" t="s">
        <v>7</v>
      </c>
      <c r="B8" s="12">
        <f>VLOOKUP(A8,Dataset!A:X,7,0)</f>
        <v>3.6</v>
      </c>
      <c r="C8" s="12">
        <f>VLOOKUP(A8,Dataset!A:X,14,0)</f>
        <v>11.1</v>
      </c>
      <c r="D8" s="12">
        <f>VLOOKUP(A8,Dataset!A:X,18,0)</f>
        <v>5.8</v>
      </c>
      <c r="E8" s="12">
        <f>VLOOKUP(A8,Dataset!A:X,20,0)</f>
        <v>12.2</v>
      </c>
      <c r="F8" s="8">
        <f>VLOOKUP(A8,Dataset!A:X,22,0)</f>
        <v>5.8</v>
      </c>
    </row>
    <row r="9" spans="1:7" ht="15" x14ac:dyDescent="0.25">
      <c r="A9" s="7" t="s">
        <v>8</v>
      </c>
      <c r="B9" s="12">
        <f>VLOOKUP(A9,Dataset!A:X,7,0)</f>
        <v>4.9000000000000004</v>
      </c>
      <c r="C9" s="12">
        <f>VLOOKUP(A9,Dataset!A:X,14,0)</f>
        <v>13.3</v>
      </c>
      <c r="D9" s="12">
        <f>VLOOKUP(A9,Dataset!A:X,18,0)</f>
        <v>8.1</v>
      </c>
      <c r="E9" s="12">
        <f>VLOOKUP(A9,Dataset!A:X,20,0)</f>
        <v>17</v>
      </c>
      <c r="F9" s="8">
        <f>VLOOKUP(A9,Dataset!A:X,22,0)</f>
        <v>8.1</v>
      </c>
    </row>
    <row r="10" spans="1:7" ht="15" x14ac:dyDescent="0.25">
      <c r="A10" s="7" t="s">
        <v>11</v>
      </c>
      <c r="B10" s="12">
        <f>VLOOKUP(A10,Dataset!A:X,7,0)</f>
        <v>9.4</v>
      </c>
      <c r="C10" s="12">
        <f>VLOOKUP(A10,Dataset!A:X,14,0)</f>
        <v>28.3</v>
      </c>
      <c r="D10" s="12">
        <f>VLOOKUP(A10,Dataset!A:X,18,0)</f>
        <v>16.100000000000001</v>
      </c>
      <c r="E10" s="12">
        <f>VLOOKUP(A10,Dataset!A:X,20,0)</f>
        <v>32.799999999999997</v>
      </c>
      <c r="F10" s="8">
        <f>VLOOKUP(A10,Dataset!A:X,22,0)</f>
        <v>16.100000000000001</v>
      </c>
    </row>
    <row r="11" spans="1:7" ht="15" x14ac:dyDescent="0.25">
      <c r="A11" s="7" t="s">
        <v>12</v>
      </c>
      <c r="B11" s="12">
        <f>VLOOKUP(A11,Dataset!A:X,7,0)</f>
        <v>11.6</v>
      </c>
      <c r="C11" s="12">
        <f>VLOOKUP(A11,Dataset!A:X,14,0)</f>
        <v>35.200000000000003</v>
      </c>
      <c r="D11" s="12">
        <f>VLOOKUP(A11,Dataset!A:X,18,0)</f>
        <v>21.3</v>
      </c>
      <c r="E11" s="12">
        <f>VLOOKUP(A11,Dataset!A:X,20,0)</f>
        <v>43</v>
      </c>
      <c r="F11" s="8">
        <f>VLOOKUP(A11,Dataset!A:X,22,0)</f>
        <v>21.3</v>
      </c>
    </row>
    <row r="12" spans="1:7" ht="15" x14ac:dyDescent="0.25">
      <c r="A12" s="7" t="s">
        <v>14</v>
      </c>
      <c r="B12" s="12">
        <f>VLOOKUP(A12,Dataset!A:X,7,0)</f>
        <v>18.399999999999999</v>
      </c>
      <c r="C12" s="12">
        <f>VLOOKUP(A12,Dataset!A:X,14,0)</f>
        <v>55.6</v>
      </c>
      <c r="D12" s="12">
        <f>VLOOKUP(A12,Dataset!A:X,18,0)</f>
        <v>33.799999999999997</v>
      </c>
      <c r="E12" s="12">
        <f>VLOOKUP(A12,Dataset!A:X,20,0)</f>
        <v>67.900000000000006</v>
      </c>
      <c r="F12" s="8">
        <f>VLOOKUP(A12,Dataset!A:X,22,0)</f>
        <v>33.799999999999997</v>
      </c>
    </row>
    <row r="13" spans="1:7" ht="15" x14ac:dyDescent="0.25">
      <c r="A13" s="7" t="s">
        <v>15</v>
      </c>
      <c r="B13" s="12">
        <f>VLOOKUP(A13,Dataset!A:X,7,0)</f>
        <v>0</v>
      </c>
      <c r="C13" s="12">
        <f>VLOOKUP(A13,Dataset!A:X,14,0)</f>
        <v>0</v>
      </c>
      <c r="D13" s="12">
        <f>VLOOKUP(A13,Dataset!A:X,18,0)</f>
        <v>0</v>
      </c>
      <c r="E13" s="12">
        <f>VLOOKUP(A13,Dataset!A:X,20,0)</f>
        <v>0</v>
      </c>
      <c r="F13" s="8">
        <f>VLOOKUP(A13,Dataset!A:X,22,0)</f>
        <v>0</v>
      </c>
    </row>
    <row r="14" spans="1:7" ht="15" x14ac:dyDescent="0.25">
      <c r="A14" s="7" t="s">
        <v>16</v>
      </c>
      <c r="B14" s="12">
        <f>VLOOKUP(A14,Dataset!A:X,7,0)</f>
        <v>21.9</v>
      </c>
      <c r="C14" s="12">
        <f>VLOOKUP(A14,Dataset!A:X,14,0)</f>
        <v>61.5</v>
      </c>
      <c r="D14" s="12">
        <f>VLOOKUP(A14,Dataset!A:X,18,0)</f>
        <v>40.1</v>
      </c>
      <c r="E14" s="12">
        <f>VLOOKUP(A14,Dataset!A:X,20,0)</f>
        <v>76.599999999999994</v>
      </c>
      <c r="F14" s="8">
        <f>VLOOKUP(A14,Dataset!A:X,22,0)</f>
        <v>40.1</v>
      </c>
    </row>
    <row r="15" spans="1:7" ht="15" x14ac:dyDescent="0.25">
      <c r="A15" s="7" t="s">
        <v>18</v>
      </c>
      <c r="B15" s="12">
        <f>VLOOKUP(A15,Dataset!A:X,7,0)</f>
        <v>26.8</v>
      </c>
      <c r="C15" s="12">
        <f>VLOOKUP(A15,Dataset!A:X,14,0)</f>
        <v>79.599999999999994</v>
      </c>
      <c r="D15" s="12">
        <f>VLOOKUP(A15,Dataset!A:X,18,0)</f>
        <v>47.9</v>
      </c>
      <c r="E15" s="12">
        <f>VLOOKUP(A15,Dataset!A:X,20,0)</f>
        <v>96.8</v>
      </c>
      <c r="F15" s="8">
        <f>VLOOKUP(A15,Dataset!A:X,22,0)</f>
        <v>47.9</v>
      </c>
    </row>
    <row r="16" spans="1:7" ht="15" x14ac:dyDescent="0.25">
      <c r="A16" s="7" t="s">
        <v>20</v>
      </c>
      <c r="B16" s="12">
        <f>VLOOKUP(A16,Dataset!A:X,7,0)</f>
        <v>28.5</v>
      </c>
      <c r="C16" s="12">
        <f>VLOOKUP(A16,Dataset!A:X,14,0)</f>
        <v>85.4</v>
      </c>
      <c r="D16" s="12">
        <f>VLOOKUP(A16,Dataset!A:X,18,0)</f>
        <v>52.3</v>
      </c>
      <c r="E16" s="12">
        <f>VLOOKUP(A16,Dataset!A:X,20,0)</f>
        <v>106.1</v>
      </c>
      <c r="F16" s="8">
        <f>VLOOKUP(A16,Dataset!A:X,22,0)</f>
        <v>52.3</v>
      </c>
    </row>
    <row r="17" spans="1:6" ht="15" x14ac:dyDescent="0.25">
      <c r="A17" s="7" t="s">
        <v>22</v>
      </c>
      <c r="B17" s="12">
        <f>VLOOKUP(A17,Dataset!A:X,7,0)</f>
        <v>30.7</v>
      </c>
      <c r="C17" s="12">
        <f>VLOOKUP(A17,Dataset!A:X,14,0)</f>
        <v>92.1</v>
      </c>
      <c r="D17" s="12">
        <f>VLOOKUP(A17,Dataset!A:X,18,0)</f>
        <v>57</v>
      </c>
      <c r="E17" s="12">
        <f>VLOOKUP(A17,Dataset!A:X,20,0)</f>
        <v>115.1</v>
      </c>
      <c r="F17" s="8">
        <f>VLOOKUP(A17,Dataset!A:X,22,0)</f>
        <v>57</v>
      </c>
    </row>
    <row r="18" spans="1:6" ht="15" x14ac:dyDescent="0.25">
      <c r="A18" s="7" t="s">
        <v>23</v>
      </c>
      <c r="B18" s="12">
        <f>VLOOKUP(A18,Dataset!A:X,7,0)</f>
        <v>33.799999999999997</v>
      </c>
      <c r="C18" s="12">
        <f>VLOOKUP(A18,Dataset!A:X,14,0)</f>
        <v>101.3</v>
      </c>
      <c r="D18" s="12">
        <f>VLOOKUP(A18,Dataset!A:X,18,0)</f>
        <v>61.4</v>
      </c>
      <c r="E18" s="12">
        <f>VLOOKUP(A18,Dataset!A:X,20,0)</f>
        <v>124.4</v>
      </c>
      <c r="F18" s="8">
        <f>VLOOKUP(A18,Dataset!A:X,22,0)</f>
        <v>61.4</v>
      </c>
    </row>
    <row r="19" spans="1:6" ht="15" x14ac:dyDescent="0.25">
      <c r="A19" s="7" t="s">
        <v>24</v>
      </c>
      <c r="B19" s="12">
        <f>VLOOKUP(A19,Dataset!A:X,7,0)</f>
        <v>34.700000000000003</v>
      </c>
      <c r="C19" s="12">
        <f>VLOOKUP(A19,Dataset!A:X,14,0)</f>
        <v>106.1</v>
      </c>
      <c r="D19" s="12">
        <f>VLOOKUP(A19,Dataset!A:X,18,0)</f>
        <v>63.6</v>
      </c>
      <c r="E19" s="12">
        <f>VLOOKUP(A19,Dataset!A:X,20,0)</f>
        <v>128.6</v>
      </c>
      <c r="F19" s="8">
        <f>VLOOKUP(A19,Dataset!A:X,22,0)</f>
        <v>63.6</v>
      </c>
    </row>
    <row r="20" spans="1:6" ht="15" x14ac:dyDescent="0.25">
      <c r="A20" s="7" t="s">
        <v>28</v>
      </c>
      <c r="B20" s="12">
        <f>VLOOKUP(A20,Dataset!A:X,7,0)</f>
        <v>0</v>
      </c>
      <c r="C20" s="12">
        <f>VLOOKUP(A20,Dataset!A:X,14,0)</f>
        <v>0</v>
      </c>
      <c r="D20" s="12">
        <f>VLOOKUP(A20,Dataset!A:X,18,0)</f>
        <v>0</v>
      </c>
      <c r="E20" s="12">
        <f>VLOOKUP(A20,Dataset!A:X,20,0)</f>
        <v>0</v>
      </c>
      <c r="F20" s="8">
        <f>VLOOKUP(A20,Dataset!A:X,22,0)</f>
        <v>0</v>
      </c>
    </row>
    <row r="21" spans="1:6" ht="15" x14ac:dyDescent="0.25">
      <c r="A21" s="7" t="s">
        <v>57</v>
      </c>
      <c r="B21" s="12">
        <f>VLOOKUP(A21,Dataset!A:X,7,0)</f>
        <v>41.3</v>
      </c>
      <c r="C21" s="12">
        <f>VLOOKUP(A21,Dataset!A:X,14,0)</f>
        <v>124.4</v>
      </c>
      <c r="D21" s="12">
        <f>VLOOKUP(A21,Dataset!A:X,18,0)</f>
        <v>75</v>
      </c>
      <c r="E21" s="12">
        <f>VLOOKUP(A21,Dataset!A:X,20,0)</f>
        <v>151.5</v>
      </c>
      <c r="F21" s="8">
        <f>VLOOKUP(A21,Dataset!A:X,22,0)</f>
        <v>75</v>
      </c>
    </row>
    <row r="22" spans="1:6" ht="15" x14ac:dyDescent="0.25">
      <c r="A22" s="7" t="s">
        <v>58</v>
      </c>
      <c r="B22" s="12">
        <f>VLOOKUP(A22,Dataset!A:X,7,0)</f>
        <v>-1</v>
      </c>
      <c r="C22" s="12">
        <f>VLOOKUP(A22,Dataset!A:X,14,0)</f>
        <v>-1</v>
      </c>
      <c r="D22" s="12">
        <f>VLOOKUP(A22,Dataset!A:X,18,0)</f>
        <v>-1</v>
      </c>
      <c r="E22" s="12">
        <f>VLOOKUP(A22,Dataset!A:X,20,0)</f>
        <v>-1</v>
      </c>
      <c r="F22" s="8">
        <f>VLOOKUP(A22,Dataset!A:X,22,0)</f>
        <v>-1</v>
      </c>
    </row>
    <row r="23" spans="1:6" ht="15" x14ac:dyDescent="0.25">
      <c r="A23" s="7" t="s">
        <v>31</v>
      </c>
      <c r="B23" s="12">
        <f>VLOOKUP(A23,Dataset!A:X,7,0)</f>
        <v>45</v>
      </c>
      <c r="C23" s="12">
        <f>VLOOKUP(A23,Dataset!A:X,14,0)</f>
        <v>133.4</v>
      </c>
      <c r="D23" s="12">
        <f>VLOOKUP(A23,Dataset!A:X,18,0)</f>
        <v>79.400000000000006</v>
      </c>
      <c r="E23" s="12">
        <f>VLOOKUP(A23,Dataset!A:X,20,0)</f>
        <v>160.9</v>
      </c>
      <c r="F23" s="8">
        <f>VLOOKUP(A23,Dataset!A:X,22,0)</f>
        <v>79.400000000000006</v>
      </c>
    </row>
    <row r="24" spans="1:6" ht="15" x14ac:dyDescent="0.25">
      <c r="A24" s="7" t="s">
        <v>32</v>
      </c>
      <c r="B24" s="12">
        <f>VLOOKUP(A24,Dataset!A:X,7,0)</f>
        <v>-1</v>
      </c>
      <c r="C24" s="12">
        <f>VLOOKUP(A24,Dataset!A:X,14,0)</f>
        <v>-1</v>
      </c>
      <c r="D24" s="12">
        <f>VLOOKUP(A24,Dataset!A:X,18,0)</f>
        <v>-1</v>
      </c>
      <c r="E24" s="12">
        <f>VLOOKUP(A24,Dataset!A:X,20,0)</f>
        <v>-1</v>
      </c>
      <c r="F24" s="8">
        <f>VLOOKUP(A24,Dataset!A:X,22,0)</f>
        <v>-1</v>
      </c>
    </row>
    <row r="25" spans="1:6" ht="15" x14ac:dyDescent="0.25">
      <c r="A25" s="7" t="s">
        <v>34</v>
      </c>
      <c r="B25" s="12">
        <f>VLOOKUP(A25,Dataset!A:X,7,0)</f>
        <v>43.3</v>
      </c>
      <c r="C25" s="12">
        <f>VLOOKUP(A25,Dataset!A:X,14,0)</f>
        <v>128.6</v>
      </c>
      <c r="D25" s="12">
        <f>VLOOKUP(A25,Dataset!A:X,18,0)</f>
        <v>79.400000000000006</v>
      </c>
      <c r="E25" s="12">
        <f>VLOOKUP(A25,Dataset!A:X,20,0)</f>
        <v>160.9</v>
      </c>
      <c r="F25" s="8">
        <f>VLOOKUP(A25,Dataset!A:X,22,0)</f>
        <v>79.400000000000006</v>
      </c>
    </row>
    <row r="26" spans="1:6" ht="15" x14ac:dyDescent="0.25">
      <c r="A26" s="7" t="s">
        <v>37</v>
      </c>
      <c r="B26" s="12">
        <f>VLOOKUP(A26,Dataset!A:X,7,0)</f>
        <v>49.1</v>
      </c>
      <c r="C26" s="12">
        <f>VLOOKUP(A26,Dataset!A:X,14,0)</f>
        <v>146.80000000000001</v>
      </c>
      <c r="D26" s="12">
        <f>VLOOKUP(A26,Dataset!A:X,18,0)</f>
        <v>90.9</v>
      </c>
      <c r="E26" s="12">
        <f>VLOOKUP(A26,Dataset!A:X,20,0)</f>
        <v>183.5</v>
      </c>
      <c r="F26" s="8">
        <f>VLOOKUP(A26,Dataset!A:X,22,0)</f>
        <v>90.9</v>
      </c>
    </row>
    <row r="27" spans="1:6" ht="15" x14ac:dyDescent="0.25">
      <c r="A27" s="7" t="s">
        <v>39</v>
      </c>
      <c r="B27" s="12">
        <f>VLOOKUP(A27,Dataset!A:X,7,0)</f>
        <v>51.8</v>
      </c>
      <c r="C27" s="12">
        <f>VLOOKUP(A27,Dataset!A:X,14,0)</f>
        <v>156.4</v>
      </c>
      <c r="D27" s="12">
        <f>VLOOKUP(A27,Dataset!A:X,18,0)</f>
        <v>93.1</v>
      </c>
      <c r="E27" s="12">
        <f>VLOOKUP(A27,Dataset!A:X,20,0)</f>
        <v>188.1</v>
      </c>
      <c r="F27" s="8">
        <f>VLOOKUP(A27,Dataset!A:X,22,0)</f>
        <v>93.1</v>
      </c>
    </row>
    <row r="28" spans="1:6" ht="15" x14ac:dyDescent="0.25">
      <c r="A28" s="19" t="s">
        <v>82</v>
      </c>
      <c r="B28" s="12">
        <f>MIN(B6:B27)</f>
        <v>-1</v>
      </c>
      <c r="C28" s="12">
        <f>MIN(C6:C27)</f>
        <v>-1</v>
      </c>
      <c r="D28" s="12">
        <f>MIN(D6:D27)</f>
        <v>-1</v>
      </c>
      <c r="E28" s="12">
        <f>MIN(E6:E27)</f>
        <v>-1</v>
      </c>
      <c r="F28" s="12">
        <f>MIN(F6:F27)</f>
        <v>-1</v>
      </c>
    </row>
    <row r="29" spans="1:6" ht="15" x14ac:dyDescent="0.25">
      <c r="A29" s="19" t="s">
        <v>83</v>
      </c>
      <c r="B29" s="12">
        <f>MAX(B6:B27)</f>
        <v>51.8</v>
      </c>
      <c r="C29" s="12">
        <f t="shared" ref="C29:F29" si="0">MAX(C6:C27)</f>
        <v>156.4</v>
      </c>
      <c r="D29" s="12">
        <f t="shared" si="0"/>
        <v>93.1</v>
      </c>
      <c r="E29" s="12">
        <f t="shared" si="0"/>
        <v>188.1</v>
      </c>
      <c r="F29" s="12">
        <f t="shared" si="0"/>
        <v>93.1</v>
      </c>
    </row>
    <row r="30" spans="1:6" ht="15" x14ac:dyDescent="0.25">
      <c r="A30" s="19" t="s">
        <v>84</v>
      </c>
      <c r="B30" s="43">
        <f>AVERAGE(B6:B27)</f>
        <v>20.827272727272728</v>
      </c>
      <c r="C30" s="43">
        <f t="shared" ref="C30:F30" si="1">AVERAGE(C6:C27)</f>
        <v>62.377272727272725</v>
      </c>
      <c r="D30" s="43">
        <f t="shared" si="1"/>
        <v>37.800000000000004</v>
      </c>
      <c r="E30" s="43">
        <f t="shared" si="1"/>
        <v>76.418181818181822</v>
      </c>
      <c r="F30" s="43">
        <f t="shared" si="1"/>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Y54"/>
  <sheetViews>
    <sheetView topLeftCell="A19" zoomScale="85" zoomScaleNormal="85" workbookViewId="0">
      <selection activeCell="B7" sqref="B7"/>
    </sheetView>
  </sheetViews>
  <sheetFormatPr defaultColWidth="11" defaultRowHeight="15" x14ac:dyDescent="0.25"/>
  <cols>
    <col min="1" max="1" width="39.83203125" style="1" bestFit="1" customWidth="1"/>
    <col min="2" max="16384" width="11" style="1"/>
  </cols>
  <sheetData>
    <row r="1" spans="1:25" s="40" customFormat="1" ht="21" x14ac:dyDescent="0.35">
      <c r="A1" s="41" t="s">
        <v>56</v>
      </c>
      <c r="B1" s="40" t="s">
        <v>174</v>
      </c>
    </row>
    <row r="2" spans="1:25" customFormat="1" ht="12.75" x14ac:dyDescent="0.2"/>
    <row r="3" spans="1:25" s="2" customFormat="1" x14ac:dyDescent="0.25">
      <c r="B3" s="1"/>
    </row>
    <row r="4" spans="1:25" s="2" customFormat="1" x14ac:dyDescent="0.25">
      <c r="B4" s="1" t="s">
        <v>151</v>
      </c>
    </row>
    <row r="5" spans="1:25" ht="18.75" x14ac:dyDescent="0.3">
      <c r="A5" s="42" t="s">
        <v>53</v>
      </c>
      <c r="B5" s="39" t="s">
        <v>178</v>
      </c>
    </row>
    <row r="6" spans="1:25" ht="18.75" x14ac:dyDescent="0.3">
      <c r="A6" s="42" t="s">
        <v>153</v>
      </c>
      <c r="B6" s="44" t="s">
        <v>177</v>
      </c>
    </row>
    <row r="7" spans="1:25" ht="18.75" x14ac:dyDescent="0.3">
      <c r="A7" s="42"/>
      <c r="B7" s="39"/>
    </row>
    <row r="9" spans="1:25" ht="23.25" x14ac:dyDescent="0.35">
      <c r="A9" s="18" t="s">
        <v>165</v>
      </c>
      <c r="H9" s="46"/>
      <c r="I9" s="46"/>
      <c r="J9" s="46"/>
      <c r="K9" s="46"/>
      <c r="L9" s="46"/>
      <c r="M9" s="46"/>
      <c r="N9" s="46"/>
      <c r="O9" s="46"/>
      <c r="P9" s="46"/>
      <c r="Q9" s="46"/>
      <c r="R9" s="46"/>
      <c r="S9" s="46"/>
      <c r="T9" s="46"/>
      <c r="U9" s="46"/>
      <c r="V9" s="46"/>
      <c r="W9" s="46"/>
      <c r="X9" s="46"/>
      <c r="Y9" s="46"/>
    </row>
    <row r="10" spans="1:25" x14ac:dyDescent="0.25">
      <c r="A10" s="32" t="s">
        <v>102</v>
      </c>
      <c r="B10" s="17" t="s">
        <v>49</v>
      </c>
      <c r="C10" s="17" t="s">
        <v>50</v>
      </c>
      <c r="D10" s="17" t="s">
        <v>51</v>
      </c>
      <c r="E10" s="17" t="s">
        <v>52</v>
      </c>
      <c r="F10" s="17" t="s">
        <v>54</v>
      </c>
      <c r="H10" s="46"/>
      <c r="I10" s="46"/>
      <c r="J10" s="46"/>
      <c r="K10" s="46"/>
      <c r="L10" s="46"/>
      <c r="M10" s="46"/>
      <c r="N10" s="46"/>
      <c r="O10" s="46"/>
      <c r="P10" s="46"/>
      <c r="Q10" s="46"/>
      <c r="R10" s="46"/>
      <c r="S10" s="46"/>
      <c r="T10" s="46"/>
      <c r="U10" s="46"/>
      <c r="V10" s="46"/>
      <c r="W10" s="46"/>
      <c r="X10" s="46"/>
      <c r="Y10" s="46"/>
    </row>
    <row r="11" spans="1:25" x14ac:dyDescent="0.25">
      <c r="A11" s="9" t="s">
        <v>121</v>
      </c>
      <c r="B11" s="13">
        <v>20000</v>
      </c>
      <c r="C11" s="13" t="s">
        <v>5</v>
      </c>
      <c r="D11" s="13">
        <v>0</v>
      </c>
      <c r="E11" s="11" t="s">
        <v>6</v>
      </c>
      <c r="F11" s="11">
        <v>24</v>
      </c>
      <c r="H11" s="46"/>
      <c r="I11" s="46"/>
      <c r="J11" s="46"/>
      <c r="K11" s="46"/>
      <c r="L11" s="46"/>
      <c r="M11" s="46"/>
      <c r="N11" s="46"/>
      <c r="O11" s="46"/>
      <c r="P11" s="46"/>
      <c r="Q11" s="46"/>
      <c r="R11" s="46"/>
      <c r="S11" s="46"/>
      <c r="T11" s="46"/>
      <c r="U11" s="46"/>
      <c r="V11" s="46"/>
      <c r="W11" s="46"/>
      <c r="X11" s="46"/>
      <c r="Y11" s="46"/>
    </row>
    <row r="12" spans="1:25" x14ac:dyDescent="0.25">
      <c r="H12" s="46"/>
      <c r="I12" s="46"/>
      <c r="J12" s="46"/>
      <c r="K12" s="46"/>
      <c r="L12" s="46"/>
      <c r="M12" s="46"/>
      <c r="N12" s="46"/>
      <c r="O12" s="46"/>
      <c r="P12" s="46"/>
      <c r="Q12" s="46"/>
      <c r="R12" s="46"/>
      <c r="S12" s="46"/>
      <c r="T12" s="46"/>
      <c r="U12" s="46"/>
      <c r="V12" s="46"/>
      <c r="W12" s="46"/>
      <c r="X12" s="46"/>
      <c r="Y12" s="46"/>
    </row>
    <row r="13" spans="1:25" x14ac:dyDescent="0.25">
      <c r="H13" s="46"/>
      <c r="I13" s="46"/>
      <c r="J13" s="46"/>
      <c r="K13" s="46"/>
      <c r="L13" s="46"/>
      <c r="M13" s="46"/>
      <c r="N13" s="46"/>
      <c r="O13" s="46"/>
      <c r="P13" s="46"/>
      <c r="Q13" s="46"/>
      <c r="R13" s="46"/>
      <c r="S13" s="46"/>
      <c r="T13" s="46"/>
      <c r="U13" s="46"/>
      <c r="V13" s="46"/>
      <c r="W13" s="46"/>
      <c r="X13" s="46"/>
      <c r="Y13" s="46"/>
    </row>
    <row r="14" spans="1:25" ht="23.25" x14ac:dyDescent="0.35">
      <c r="A14" s="18" t="s">
        <v>162</v>
      </c>
      <c r="H14" s="46"/>
      <c r="I14" s="46"/>
      <c r="J14" s="46"/>
      <c r="K14" s="46"/>
      <c r="L14" s="46"/>
      <c r="M14" s="46"/>
      <c r="N14" s="46"/>
      <c r="O14" s="46"/>
      <c r="P14" s="46"/>
      <c r="Q14" s="46"/>
      <c r="R14" s="46"/>
      <c r="S14" s="46"/>
      <c r="T14" s="46"/>
      <c r="U14" s="46"/>
      <c r="V14" s="46"/>
      <c r="W14" s="46"/>
      <c r="X14" s="46"/>
      <c r="Y14" s="46"/>
    </row>
    <row r="15" spans="1:25" x14ac:dyDescent="0.25">
      <c r="A15" s="14" t="s">
        <v>103</v>
      </c>
      <c r="B15" s="17" t="s">
        <v>49</v>
      </c>
      <c r="C15" s="15" t="s">
        <v>50</v>
      </c>
      <c r="D15" s="17" t="s">
        <v>51</v>
      </c>
      <c r="E15" s="15" t="s">
        <v>52</v>
      </c>
      <c r="F15" s="17" t="s">
        <v>54</v>
      </c>
      <c r="H15" s="46"/>
      <c r="I15" s="46"/>
      <c r="J15" s="46"/>
      <c r="K15" s="46"/>
      <c r="L15" s="46"/>
      <c r="M15" s="46"/>
      <c r="N15" s="46"/>
      <c r="O15" s="46"/>
      <c r="P15" s="46"/>
      <c r="Q15" s="46"/>
      <c r="R15" s="46"/>
      <c r="S15" s="46"/>
      <c r="T15" s="46"/>
      <c r="U15" s="46"/>
      <c r="V15" s="46"/>
      <c r="W15" s="46"/>
      <c r="X15" s="46"/>
      <c r="Y15" s="46"/>
    </row>
    <row r="16" spans="1:25" x14ac:dyDescent="0.25">
      <c r="A16" s="7" t="s">
        <v>121</v>
      </c>
      <c r="B16" s="12">
        <v>20000</v>
      </c>
      <c r="C16" s="1" t="s">
        <v>5</v>
      </c>
      <c r="D16" s="12">
        <v>0</v>
      </c>
      <c r="E16" s="1" t="s">
        <v>6</v>
      </c>
      <c r="F16" s="12">
        <v>24</v>
      </c>
      <c r="H16" s="46"/>
      <c r="I16" s="46"/>
      <c r="J16" s="46"/>
      <c r="K16" s="46"/>
      <c r="L16" s="46"/>
      <c r="M16" s="46"/>
      <c r="N16" s="46"/>
      <c r="O16" s="46"/>
      <c r="P16" s="46"/>
      <c r="Q16" s="46"/>
      <c r="R16" s="46"/>
      <c r="S16" s="46"/>
      <c r="T16" s="46"/>
      <c r="U16" s="46"/>
      <c r="V16" s="46"/>
      <c r="W16" s="46"/>
      <c r="X16" s="46"/>
      <c r="Y16" s="46"/>
    </row>
    <row r="17" spans="1:25" x14ac:dyDescent="0.25">
      <c r="A17" s="7" t="s">
        <v>122</v>
      </c>
      <c r="B17" s="12">
        <v>20002</v>
      </c>
      <c r="C17" s="1" t="s">
        <v>5</v>
      </c>
      <c r="D17" s="12">
        <v>0</v>
      </c>
      <c r="E17" s="1" t="s">
        <v>6</v>
      </c>
      <c r="F17" s="12">
        <v>24</v>
      </c>
      <c r="H17" s="46"/>
      <c r="I17" s="46"/>
      <c r="J17" s="46"/>
      <c r="K17" s="46"/>
      <c r="L17" s="46"/>
      <c r="M17" s="46"/>
      <c r="N17" s="46"/>
      <c r="O17" s="46"/>
      <c r="P17" s="46"/>
      <c r="Q17" s="46"/>
      <c r="R17" s="46"/>
      <c r="S17" s="46"/>
      <c r="T17" s="46"/>
      <c r="U17" s="46"/>
      <c r="V17" s="46"/>
      <c r="W17" s="46"/>
      <c r="X17" s="46"/>
      <c r="Y17" s="46"/>
    </row>
    <row r="18" spans="1:25" x14ac:dyDescent="0.25">
      <c r="A18" s="7" t="s">
        <v>123</v>
      </c>
      <c r="B18" s="12">
        <v>20004</v>
      </c>
      <c r="C18" s="1" t="s">
        <v>5</v>
      </c>
      <c r="D18" s="12">
        <v>0</v>
      </c>
      <c r="E18" s="1" t="s">
        <v>6</v>
      </c>
      <c r="F18" s="12">
        <v>24</v>
      </c>
      <c r="H18" s="46"/>
      <c r="I18" s="46"/>
      <c r="J18" s="46"/>
      <c r="K18" s="46"/>
      <c r="L18" s="46"/>
      <c r="M18" s="46"/>
      <c r="N18" s="46"/>
      <c r="O18" s="46"/>
      <c r="P18" s="46"/>
      <c r="Q18" s="46"/>
      <c r="R18" s="46"/>
      <c r="S18" s="46"/>
      <c r="T18" s="46"/>
      <c r="U18" s="46"/>
      <c r="V18" s="46"/>
      <c r="W18" s="46"/>
      <c r="X18" s="46"/>
      <c r="Y18" s="46"/>
    </row>
    <row r="19" spans="1:25" x14ac:dyDescent="0.25">
      <c r="A19" s="7" t="s">
        <v>124</v>
      </c>
      <c r="B19" s="12">
        <v>20006</v>
      </c>
      <c r="C19" s="1" t="s">
        <v>5</v>
      </c>
      <c r="D19" s="12">
        <v>0</v>
      </c>
      <c r="E19" s="1" t="s">
        <v>6</v>
      </c>
      <c r="F19" s="12">
        <v>24</v>
      </c>
      <c r="H19" s="46"/>
      <c r="I19" s="46"/>
      <c r="J19" s="46"/>
      <c r="K19" s="46"/>
      <c r="L19" s="46"/>
      <c r="M19" s="46"/>
      <c r="N19" s="46"/>
      <c r="O19" s="46"/>
      <c r="P19" s="46"/>
      <c r="Q19" s="46"/>
      <c r="R19" s="46"/>
      <c r="S19" s="46"/>
      <c r="T19" s="46"/>
      <c r="U19" s="46"/>
      <c r="V19" s="46"/>
      <c r="W19" s="46"/>
      <c r="X19" s="46"/>
      <c r="Y19" s="46"/>
    </row>
    <row r="20" spans="1:25" x14ac:dyDescent="0.25">
      <c r="A20" s="7" t="s">
        <v>125</v>
      </c>
      <c r="B20" s="12">
        <v>20008</v>
      </c>
      <c r="C20" s="1" t="s">
        <v>5</v>
      </c>
      <c r="D20" s="12">
        <v>0</v>
      </c>
      <c r="E20" s="1" t="s">
        <v>6</v>
      </c>
      <c r="F20" s="12">
        <v>24</v>
      </c>
      <c r="H20" s="46"/>
      <c r="I20" s="46"/>
      <c r="J20" s="46"/>
      <c r="K20" s="46"/>
      <c r="L20" s="46"/>
      <c r="M20" s="46"/>
      <c r="N20" s="46"/>
      <c r="O20" s="46"/>
      <c r="P20" s="46"/>
      <c r="Q20" s="46"/>
      <c r="R20" s="46"/>
      <c r="S20" s="46"/>
      <c r="T20" s="46"/>
      <c r="U20" s="46"/>
      <c r="V20" s="46"/>
      <c r="W20" s="46"/>
      <c r="X20" s="46"/>
      <c r="Y20" s="46"/>
    </row>
    <row r="21" spans="1:25" x14ac:dyDescent="0.25">
      <c r="A21" s="7" t="s">
        <v>126</v>
      </c>
      <c r="B21" s="12">
        <v>20010</v>
      </c>
      <c r="C21" s="1" t="s">
        <v>5</v>
      </c>
      <c r="D21" s="12">
        <v>0</v>
      </c>
      <c r="E21" s="1" t="s">
        <v>6</v>
      </c>
      <c r="F21" s="12">
        <v>24</v>
      </c>
      <c r="H21" s="46"/>
      <c r="I21" s="46"/>
      <c r="J21" s="46"/>
      <c r="K21" s="46"/>
      <c r="L21" s="46"/>
      <c r="M21" s="46"/>
      <c r="N21" s="46"/>
      <c r="O21" s="46"/>
      <c r="P21" s="46"/>
      <c r="Q21" s="46"/>
      <c r="R21" s="46"/>
      <c r="S21" s="46"/>
      <c r="T21" s="46"/>
      <c r="U21" s="46"/>
      <c r="V21" s="46"/>
      <c r="W21" s="46"/>
      <c r="X21" s="46"/>
      <c r="Y21" s="46"/>
    </row>
    <row r="22" spans="1:25" x14ac:dyDescent="0.25">
      <c r="A22" s="7" t="s">
        <v>127</v>
      </c>
      <c r="B22" s="12">
        <v>20012</v>
      </c>
      <c r="C22" s="1" t="s">
        <v>5</v>
      </c>
      <c r="D22" s="12">
        <v>0</v>
      </c>
      <c r="E22" s="1" t="s">
        <v>6</v>
      </c>
      <c r="F22" s="12">
        <v>24</v>
      </c>
      <c r="H22" s="46"/>
      <c r="I22" s="46"/>
      <c r="J22" s="46"/>
      <c r="K22" s="46"/>
      <c r="L22" s="46"/>
      <c r="M22" s="46"/>
      <c r="N22" s="46"/>
      <c r="O22" s="46"/>
      <c r="P22" s="46"/>
      <c r="Q22" s="46"/>
      <c r="R22" s="46"/>
      <c r="S22" s="46"/>
      <c r="T22" s="46"/>
      <c r="U22" s="46"/>
      <c r="V22" s="46"/>
      <c r="W22" s="46"/>
      <c r="X22" s="46"/>
      <c r="Y22" s="46"/>
    </row>
    <row r="23" spans="1:25" x14ac:dyDescent="0.25">
      <c r="A23" s="7" t="s">
        <v>128</v>
      </c>
      <c r="B23" s="12">
        <v>20014</v>
      </c>
      <c r="C23" s="1" t="s">
        <v>5</v>
      </c>
      <c r="D23" s="12">
        <v>0</v>
      </c>
      <c r="E23" s="1" t="s">
        <v>6</v>
      </c>
      <c r="F23" s="12">
        <v>24</v>
      </c>
      <c r="H23" s="46"/>
      <c r="I23" s="46"/>
      <c r="J23" s="46"/>
      <c r="K23" s="46"/>
      <c r="L23" s="46"/>
      <c r="M23" s="46"/>
      <c r="N23" s="46"/>
      <c r="O23" s="46"/>
      <c r="P23" s="46"/>
      <c r="Q23" s="46"/>
      <c r="R23" s="46"/>
      <c r="S23" s="46"/>
      <c r="T23" s="46"/>
      <c r="U23" s="46"/>
      <c r="V23" s="46"/>
      <c r="W23" s="46"/>
      <c r="X23" s="46"/>
      <c r="Y23" s="46"/>
    </row>
    <row r="24" spans="1:25" x14ac:dyDescent="0.25">
      <c r="A24" s="7" t="s">
        <v>129</v>
      </c>
      <c r="B24" s="12">
        <v>20016</v>
      </c>
      <c r="C24" s="1" t="s">
        <v>5</v>
      </c>
      <c r="D24" s="12">
        <v>0</v>
      </c>
      <c r="E24" s="1" t="s">
        <v>6</v>
      </c>
      <c r="F24" s="12">
        <v>24</v>
      </c>
      <c r="H24" s="46"/>
      <c r="I24" s="46"/>
      <c r="J24" s="46"/>
      <c r="K24" s="46"/>
      <c r="L24" s="46"/>
      <c r="M24" s="46"/>
      <c r="N24" s="46"/>
      <c r="O24" s="46"/>
      <c r="P24" s="46"/>
      <c r="Q24" s="46"/>
      <c r="R24" s="46"/>
      <c r="S24" s="46"/>
      <c r="T24" s="46"/>
      <c r="U24" s="46"/>
      <c r="V24" s="46"/>
      <c r="W24" s="46"/>
      <c r="X24" s="46"/>
      <c r="Y24" s="46"/>
    </row>
    <row r="25" spans="1:25" x14ac:dyDescent="0.25">
      <c r="A25" s="7" t="s">
        <v>130</v>
      </c>
      <c r="B25" s="12">
        <v>20018</v>
      </c>
      <c r="C25" s="1" t="s">
        <v>5</v>
      </c>
      <c r="D25" s="12">
        <v>0</v>
      </c>
      <c r="E25" s="1" t="s">
        <v>6</v>
      </c>
      <c r="F25" s="12">
        <v>24</v>
      </c>
      <c r="H25" s="46"/>
      <c r="I25" s="46"/>
      <c r="J25" s="46"/>
      <c r="K25" s="46"/>
      <c r="L25" s="46"/>
      <c r="M25" s="46"/>
      <c r="N25" s="46"/>
      <c r="O25" s="46"/>
      <c r="P25" s="46"/>
      <c r="Q25" s="46"/>
      <c r="R25" s="46"/>
      <c r="S25" s="46"/>
      <c r="T25" s="46"/>
      <c r="U25" s="46"/>
      <c r="V25" s="46"/>
      <c r="W25" s="46"/>
      <c r="X25" s="46"/>
      <c r="Y25" s="46"/>
    </row>
    <row r="26" spans="1:25" x14ac:dyDescent="0.25">
      <c r="A26" s="7" t="s">
        <v>131</v>
      </c>
      <c r="B26" s="12">
        <v>20020</v>
      </c>
      <c r="C26" s="1" t="s">
        <v>5</v>
      </c>
      <c r="D26" s="12">
        <v>0</v>
      </c>
      <c r="E26" s="1" t="s">
        <v>6</v>
      </c>
      <c r="F26" s="12">
        <v>24</v>
      </c>
      <c r="H26" s="46"/>
      <c r="I26" s="46"/>
      <c r="J26" s="46"/>
      <c r="K26" s="46"/>
      <c r="L26" s="46"/>
      <c r="M26" s="46"/>
      <c r="N26" s="46"/>
      <c r="O26" s="46"/>
      <c r="P26" s="46"/>
      <c r="Q26" s="46"/>
      <c r="R26" s="46"/>
      <c r="S26" s="46"/>
      <c r="T26" s="46"/>
      <c r="U26" s="46"/>
      <c r="V26" s="46"/>
      <c r="W26" s="46"/>
      <c r="X26" s="46"/>
      <c r="Y26" s="46"/>
    </row>
    <row r="27" spans="1:25" x14ac:dyDescent="0.25">
      <c r="A27" s="7" t="s">
        <v>132</v>
      </c>
      <c r="B27" s="12">
        <v>20022</v>
      </c>
      <c r="C27" s="1" t="s">
        <v>5</v>
      </c>
      <c r="D27" s="12">
        <v>0</v>
      </c>
      <c r="E27" s="1" t="s">
        <v>6</v>
      </c>
      <c r="F27" s="12">
        <v>24</v>
      </c>
      <c r="H27" s="46"/>
      <c r="I27" s="46"/>
      <c r="J27" s="46"/>
      <c r="K27" s="46"/>
      <c r="L27" s="46"/>
      <c r="M27" s="46"/>
      <c r="N27" s="46"/>
      <c r="O27" s="46"/>
      <c r="P27" s="46"/>
      <c r="Q27" s="46"/>
      <c r="R27" s="46"/>
      <c r="S27" s="46"/>
      <c r="T27" s="46"/>
      <c r="U27" s="46"/>
      <c r="V27" s="46"/>
      <c r="W27" s="46"/>
      <c r="X27" s="46"/>
      <c r="Y27" s="46"/>
    </row>
    <row r="28" spans="1:25" x14ac:dyDescent="0.25">
      <c r="A28" s="7" t="s">
        <v>133</v>
      </c>
      <c r="B28" s="12">
        <v>20024</v>
      </c>
      <c r="C28" s="1" t="s">
        <v>5</v>
      </c>
      <c r="D28" s="12">
        <v>0</v>
      </c>
      <c r="E28" s="1" t="s">
        <v>6</v>
      </c>
      <c r="F28" s="12">
        <v>24</v>
      </c>
      <c r="H28" s="46"/>
      <c r="I28" s="46"/>
      <c r="J28" s="46"/>
      <c r="K28" s="46"/>
      <c r="L28" s="46"/>
      <c r="M28" s="46"/>
      <c r="N28" s="46"/>
      <c r="O28" s="46"/>
      <c r="P28" s="46"/>
      <c r="Q28" s="46"/>
      <c r="R28" s="46"/>
      <c r="S28" s="46"/>
      <c r="T28" s="46"/>
      <c r="U28" s="46"/>
      <c r="V28" s="46"/>
      <c r="W28" s="46"/>
      <c r="X28" s="46"/>
      <c r="Y28" s="46"/>
    </row>
    <row r="29" spans="1:25" x14ac:dyDescent="0.25">
      <c r="A29" s="7" t="s">
        <v>134</v>
      </c>
      <c r="B29" s="12">
        <v>20026</v>
      </c>
      <c r="C29" s="1" t="s">
        <v>5</v>
      </c>
      <c r="D29" s="12">
        <v>0</v>
      </c>
      <c r="E29" s="1" t="s">
        <v>6</v>
      </c>
      <c r="F29" s="12">
        <v>24</v>
      </c>
      <c r="H29" s="46"/>
      <c r="I29" s="46"/>
      <c r="J29" s="46"/>
      <c r="K29" s="46"/>
      <c r="L29" s="46"/>
      <c r="M29" s="46"/>
      <c r="N29" s="46"/>
      <c r="O29" s="46"/>
      <c r="P29" s="46"/>
      <c r="Q29" s="46"/>
      <c r="R29" s="46"/>
      <c r="S29" s="46"/>
      <c r="T29" s="46"/>
      <c r="U29" s="46"/>
      <c r="V29" s="46"/>
      <c r="W29" s="46"/>
      <c r="X29" s="46"/>
      <c r="Y29" s="46"/>
    </row>
    <row r="30" spans="1:25" x14ac:dyDescent="0.25">
      <c r="A30" s="7" t="s">
        <v>135</v>
      </c>
      <c r="B30" s="12">
        <v>20028</v>
      </c>
      <c r="C30" s="1" t="s">
        <v>5</v>
      </c>
      <c r="D30" s="12">
        <v>0</v>
      </c>
      <c r="E30" s="1" t="s">
        <v>6</v>
      </c>
      <c r="F30" s="12">
        <v>24</v>
      </c>
      <c r="H30" s="46"/>
      <c r="I30" s="46"/>
      <c r="J30" s="46"/>
      <c r="K30" s="46"/>
      <c r="L30" s="46"/>
      <c r="M30" s="46"/>
      <c r="N30" s="46"/>
      <c r="O30" s="46"/>
      <c r="P30" s="46"/>
      <c r="Q30" s="46"/>
      <c r="R30" s="46"/>
      <c r="S30" s="46"/>
      <c r="T30" s="46"/>
      <c r="U30" s="46"/>
      <c r="V30" s="46"/>
      <c r="W30" s="46"/>
      <c r="X30" s="46"/>
      <c r="Y30" s="46"/>
    </row>
    <row r="31" spans="1:25" x14ac:dyDescent="0.25">
      <c r="A31" s="7" t="s">
        <v>136</v>
      </c>
      <c r="B31" s="12">
        <v>20030</v>
      </c>
      <c r="C31" s="1" t="s">
        <v>5</v>
      </c>
      <c r="D31" s="12">
        <v>0</v>
      </c>
      <c r="E31" s="1" t="s">
        <v>6</v>
      </c>
      <c r="F31" s="12">
        <v>24</v>
      </c>
      <c r="H31" s="46"/>
      <c r="I31" s="46"/>
      <c r="J31" s="46"/>
      <c r="K31" s="46"/>
      <c r="L31" s="46"/>
      <c r="M31" s="46"/>
      <c r="N31" s="46"/>
      <c r="O31" s="46"/>
      <c r="P31" s="46"/>
      <c r="Q31" s="46"/>
      <c r="R31" s="46"/>
      <c r="S31" s="46"/>
      <c r="T31" s="46"/>
      <c r="U31" s="46"/>
      <c r="V31" s="46"/>
      <c r="W31" s="46"/>
      <c r="X31" s="46"/>
      <c r="Y31" s="46"/>
    </row>
    <row r="32" spans="1:25" x14ac:dyDescent="0.25">
      <c r="A32" s="7" t="s">
        <v>137</v>
      </c>
      <c r="B32" s="12">
        <v>20032</v>
      </c>
      <c r="C32" s="1" t="s">
        <v>5</v>
      </c>
      <c r="D32" s="12">
        <v>0</v>
      </c>
      <c r="E32" s="1" t="s">
        <v>6</v>
      </c>
      <c r="F32" s="12">
        <v>24</v>
      </c>
      <c r="H32" s="46"/>
      <c r="I32" s="46"/>
      <c r="J32" s="46"/>
      <c r="K32" s="46"/>
      <c r="L32" s="46"/>
      <c r="M32" s="46"/>
      <c r="N32" s="46"/>
      <c r="O32" s="46"/>
      <c r="P32" s="46"/>
      <c r="Q32" s="46"/>
      <c r="R32" s="46"/>
      <c r="S32" s="46"/>
      <c r="T32" s="46"/>
      <c r="U32" s="46"/>
      <c r="V32" s="46"/>
      <c r="W32" s="46"/>
      <c r="X32" s="46"/>
      <c r="Y32" s="46"/>
    </row>
    <row r="33" spans="1:25" x14ac:dyDescent="0.25">
      <c r="A33" s="7" t="s">
        <v>138</v>
      </c>
      <c r="B33" s="12">
        <v>20034</v>
      </c>
      <c r="C33" s="1" t="s">
        <v>5</v>
      </c>
      <c r="D33" s="12">
        <v>0</v>
      </c>
      <c r="E33" s="1" t="s">
        <v>6</v>
      </c>
      <c r="F33" s="12">
        <v>24</v>
      </c>
      <c r="H33" s="46"/>
      <c r="I33" s="46"/>
      <c r="J33" s="46"/>
      <c r="K33" s="46"/>
      <c r="L33" s="46"/>
      <c r="M33" s="46"/>
      <c r="N33" s="46"/>
      <c r="O33" s="46"/>
      <c r="P33" s="46"/>
      <c r="Q33" s="46"/>
      <c r="R33" s="46"/>
      <c r="S33" s="46"/>
      <c r="T33" s="46"/>
      <c r="U33" s="46"/>
      <c r="V33" s="46"/>
      <c r="W33" s="46"/>
      <c r="X33" s="46"/>
      <c r="Y33" s="46"/>
    </row>
    <row r="34" spans="1:25" x14ac:dyDescent="0.25">
      <c r="A34" s="7" t="s">
        <v>139</v>
      </c>
      <c r="B34" s="12">
        <v>20036</v>
      </c>
      <c r="C34" s="1" t="s">
        <v>5</v>
      </c>
      <c r="D34" s="12">
        <v>0</v>
      </c>
      <c r="E34" s="1" t="s">
        <v>6</v>
      </c>
      <c r="F34" s="12">
        <v>24</v>
      </c>
      <c r="H34" s="46"/>
      <c r="I34" s="46"/>
      <c r="J34" s="46"/>
      <c r="K34" s="46"/>
      <c r="L34" s="46"/>
      <c r="M34" s="46"/>
      <c r="N34" s="46"/>
      <c r="O34" s="46"/>
      <c r="P34" s="46"/>
      <c r="Q34" s="46"/>
      <c r="R34" s="46"/>
      <c r="S34" s="46"/>
      <c r="T34" s="46"/>
      <c r="U34" s="46"/>
      <c r="V34" s="46"/>
      <c r="W34" s="46"/>
      <c r="X34" s="46"/>
      <c r="Y34" s="46"/>
    </row>
    <row r="35" spans="1:25" x14ac:dyDescent="0.25">
      <c r="A35" s="7" t="s">
        <v>140</v>
      </c>
      <c r="B35" s="12">
        <v>20038</v>
      </c>
      <c r="C35" s="1" t="s">
        <v>5</v>
      </c>
      <c r="D35" s="12">
        <v>0</v>
      </c>
      <c r="E35" s="1" t="s">
        <v>6</v>
      </c>
      <c r="F35" s="12">
        <v>24</v>
      </c>
      <c r="H35" s="46"/>
      <c r="I35" s="46"/>
      <c r="J35" s="46"/>
      <c r="K35" s="46"/>
      <c r="L35" s="46"/>
      <c r="M35" s="46"/>
      <c r="N35" s="46"/>
      <c r="O35" s="46"/>
      <c r="P35" s="46"/>
      <c r="Q35" s="46"/>
      <c r="R35" s="46"/>
      <c r="S35" s="46"/>
      <c r="T35" s="46"/>
      <c r="U35" s="46"/>
      <c r="V35" s="46"/>
      <c r="W35" s="46"/>
      <c r="X35" s="46"/>
      <c r="Y35" s="46"/>
    </row>
    <row r="36" spans="1:25" x14ac:dyDescent="0.25">
      <c r="A36" s="7" t="s">
        <v>141</v>
      </c>
      <c r="B36" s="12">
        <v>20040</v>
      </c>
      <c r="C36" s="1" t="s">
        <v>5</v>
      </c>
      <c r="D36" s="12">
        <v>0</v>
      </c>
      <c r="E36" s="1" t="s">
        <v>6</v>
      </c>
      <c r="F36" s="12">
        <v>24</v>
      </c>
      <c r="H36" s="46"/>
      <c r="I36" s="46"/>
      <c r="J36" s="46"/>
      <c r="K36" s="46"/>
      <c r="L36" s="46"/>
      <c r="M36" s="46"/>
      <c r="N36" s="46"/>
      <c r="O36" s="46"/>
      <c r="P36" s="46"/>
      <c r="Q36" s="46"/>
      <c r="R36" s="46"/>
      <c r="S36" s="46"/>
      <c r="T36" s="46"/>
      <c r="U36" s="46"/>
      <c r="V36" s="46"/>
      <c r="W36" s="46"/>
      <c r="X36" s="46"/>
      <c r="Y36" s="46"/>
    </row>
    <row r="37" spans="1:25" x14ac:dyDescent="0.25">
      <c r="A37" s="7" t="s">
        <v>142</v>
      </c>
      <c r="B37" s="12">
        <v>20042</v>
      </c>
      <c r="C37" s="1" t="s">
        <v>5</v>
      </c>
      <c r="D37" s="12">
        <v>0</v>
      </c>
      <c r="E37" s="1" t="s">
        <v>6</v>
      </c>
      <c r="F37" s="12">
        <v>24</v>
      </c>
      <c r="H37" s="46"/>
      <c r="I37" s="46"/>
      <c r="J37" s="46"/>
      <c r="K37" s="46"/>
      <c r="L37" s="46"/>
      <c r="M37" s="46"/>
      <c r="N37" s="46"/>
      <c r="O37" s="46"/>
      <c r="P37" s="46"/>
      <c r="Q37" s="46"/>
      <c r="R37" s="46"/>
      <c r="S37" s="46"/>
      <c r="T37" s="46"/>
      <c r="U37" s="46"/>
      <c r="V37" s="46"/>
      <c r="W37" s="46"/>
      <c r="X37" s="46"/>
      <c r="Y37" s="46"/>
    </row>
    <row r="38" spans="1:25" x14ac:dyDescent="0.25">
      <c r="A38" s="7" t="s">
        <v>143</v>
      </c>
      <c r="B38" s="12">
        <v>20044</v>
      </c>
      <c r="C38" s="1" t="s">
        <v>5</v>
      </c>
      <c r="D38" s="12">
        <v>0</v>
      </c>
      <c r="E38" s="1" t="s">
        <v>6</v>
      </c>
      <c r="F38" s="12">
        <v>24</v>
      </c>
      <c r="H38" s="46"/>
      <c r="I38" s="46"/>
      <c r="J38" s="46"/>
      <c r="K38" s="46"/>
      <c r="L38" s="46"/>
      <c r="M38" s="46"/>
      <c r="N38" s="46"/>
      <c r="O38" s="46"/>
      <c r="P38" s="46"/>
      <c r="Q38" s="46"/>
      <c r="R38" s="46"/>
      <c r="S38" s="46"/>
      <c r="T38" s="46"/>
      <c r="U38" s="46"/>
      <c r="V38" s="46"/>
      <c r="W38" s="46"/>
      <c r="X38" s="46"/>
      <c r="Y38" s="46"/>
    </row>
    <row r="39" spans="1:25" x14ac:dyDescent="0.25">
      <c r="A39" s="7" t="s">
        <v>144</v>
      </c>
      <c r="B39" s="12">
        <v>20046</v>
      </c>
      <c r="C39" s="1" t="s">
        <v>5</v>
      </c>
      <c r="D39" s="12">
        <v>0</v>
      </c>
      <c r="E39" s="1" t="s">
        <v>6</v>
      </c>
      <c r="F39" s="12">
        <v>24</v>
      </c>
      <c r="H39" s="46"/>
      <c r="I39" s="46"/>
      <c r="J39" s="46"/>
      <c r="K39" s="46"/>
      <c r="L39" s="46"/>
      <c r="M39" s="46"/>
      <c r="N39" s="46"/>
      <c r="O39" s="46"/>
      <c r="P39" s="46"/>
      <c r="Q39" s="46"/>
      <c r="R39" s="46"/>
      <c r="S39" s="46"/>
      <c r="T39" s="46"/>
      <c r="U39" s="46"/>
      <c r="V39" s="46"/>
      <c r="W39" s="46"/>
      <c r="X39" s="46"/>
      <c r="Y39" s="46"/>
    </row>
    <row r="40" spans="1:25" x14ac:dyDescent="0.25">
      <c r="A40" s="7" t="s">
        <v>145</v>
      </c>
      <c r="B40" s="12">
        <v>20048</v>
      </c>
      <c r="C40" s="1" t="s">
        <v>5</v>
      </c>
      <c r="D40" s="12">
        <v>0</v>
      </c>
      <c r="E40" s="1" t="s">
        <v>6</v>
      </c>
      <c r="F40" s="12">
        <v>24</v>
      </c>
      <c r="H40" s="46"/>
      <c r="I40" s="46"/>
      <c r="J40" s="46"/>
      <c r="K40" s="46"/>
      <c r="L40" s="46"/>
      <c r="M40" s="46"/>
      <c r="N40" s="46"/>
      <c r="O40" s="46"/>
      <c r="P40" s="46"/>
      <c r="Q40" s="46"/>
      <c r="R40" s="46"/>
      <c r="S40" s="46"/>
      <c r="T40" s="46"/>
      <c r="U40" s="46"/>
      <c r="V40" s="46"/>
      <c r="W40" s="46"/>
      <c r="X40" s="46"/>
      <c r="Y40" s="46"/>
    </row>
    <row r="41" spans="1:25" x14ac:dyDescent="0.25">
      <c r="A41" s="7" t="s">
        <v>146</v>
      </c>
      <c r="B41" s="12">
        <v>20050</v>
      </c>
      <c r="C41" s="1" t="s">
        <v>5</v>
      </c>
      <c r="D41" s="12">
        <v>0</v>
      </c>
      <c r="E41" s="1" t="s">
        <v>6</v>
      </c>
      <c r="F41" s="12">
        <v>24</v>
      </c>
      <c r="H41" s="46"/>
      <c r="I41" s="46"/>
      <c r="J41" s="46"/>
      <c r="K41" s="46"/>
      <c r="L41" s="46"/>
      <c r="M41" s="46"/>
      <c r="N41" s="46"/>
      <c r="O41" s="46"/>
      <c r="P41" s="46"/>
      <c r="Q41" s="46"/>
      <c r="R41" s="46"/>
      <c r="S41" s="46"/>
      <c r="T41" s="46"/>
      <c r="U41" s="46"/>
      <c r="V41" s="46"/>
      <c r="W41" s="46"/>
      <c r="X41" s="46"/>
      <c r="Y41" s="46"/>
    </row>
    <row r="42" spans="1:25" x14ac:dyDescent="0.25">
      <c r="A42" s="7" t="s">
        <v>147</v>
      </c>
      <c r="B42" s="12">
        <v>20052</v>
      </c>
      <c r="C42" s="1" t="s">
        <v>5</v>
      </c>
      <c r="D42" s="12">
        <v>0</v>
      </c>
      <c r="E42" s="1" t="s">
        <v>6</v>
      </c>
      <c r="F42" s="12">
        <v>24</v>
      </c>
      <c r="H42" s="46"/>
      <c r="I42" s="46"/>
      <c r="J42" s="46"/>
      <c r="K42" s="46"/>
      <c r="L42" s="46"/>
      <c r="M42" s="46"/>
      <c r="N42" s="46"/>
      <c r="O42" s="46"/>
      <c r="P42" s="46"/>
      <c r="Q42" s="46"/>
      <c r="R42" s="46"/>
      <c r="S42" s="46"/>
      <c r="T42" s="46"/>
      <c r="U42" s="46"/>
      <c r="V42" s="46"/>
      <c r="W42" s="46"/>
      <c r="X42" s="46"/>
      <c r="Y42" s="46"/>
    </row>
    <row r="43" spans="1:25" x14ac:dyDescent="0.25">
      <c r="A43" s="7" t="s">
        <v>148</v>
      </c>
      <c r="B43" s="12">
        <v>20054</v>
      </c>
      <c r="C43" s="1" t="s">
        <v>5</v>
      </c>
      <c r="D43" s="12">
        <v>0</v>
      </c>
      <c r="E43" s="1" t="s">
        <v>6</v>
      </c>
      <c r="F43" s="12">
        <v>24</v>
      </c>
      <c r="H43" s="46"/>
      <c r="I43" s="46"/>
      <c r="J43" s="46"/>
      <c r="K43" s="46"/>
      <c r="L43" s="46"/>
      <c r="M43" s="46"/>
      <c r="N43" s="46"/>
      <c r="O43" s="46"/>
      <c r="P43" s="46"/>
      <c r="Q43" s="46"/>
      <c r="R43" s="46"/>
      <c r="S43" s="46"/>
      <c r="T43" s="46"/>
      <c r="U43" s="46"/>
      <c r="V43" s="46"/>
      <c r="W43" s="46"/>
      <c r="X43" s="46"/>
      <c r="Y43" s="46"/>
    </row>
    <row r="44" spans="1:25" x14ac:dyDescent="0.25">
      <c r="A44" s="7" t="s">
        <v>149</v>
      </c>
      <c r="B44" s="12">
        <v>20058</v>
      </c>
      <c r="C44" s="1" t="s">
        <v>5</v>
      </c>
      <c r="D44" s="12">
        <v>0</v>
      </c>
      <c r="E44" s="1" t="s">
        <v>6</v>
      </c>
      <c r="F44" s="12">
        <v>24</v>
      </c>
      <c r="H44" s="46"/>
      <c r="I44" s="46"/>
      <c r="J44" s="46"/>
      <c r="K44" s="46"/>
      <c r="L44" s="46"/>
      <c r="M44" s="46"/>
      <c r="N44" s="46"/>
      <c r="O44" s="46"/>
      <c r="P44" s="46"/>
      <c r="Q44" s="46"/>
      <c r="R44" s="46"/>
      <c r="S44" s="46"/>
      <c r="T44" s="46"/>
      <c r="U44" s="46"/>
      <c r="V44" s="46"/>
      <c r="W44" s="46"/>
      <c r="X44" s="46"/>
      <c r="Y44" s="46"/>
    </row>
    <row r="45" spans="1:25" x14ac:dyDescent="0.25">
      <c r="A45" s="7" t="s">
        <v>150</v>
      </c>
      <c r="B45" s="12">
        <v>20060</v>
      </c>
      <c r="C45" s="1" t="s">
        <v>5</v>
      </c>
      <c r="D45" s="12">
        <v>0</v>
      </c>
      <c r="E45" s="1" t="s">
        <v>6</v>
      </c>
      <c r="F45" s="12">
        <v>24</v>
      </c>
      <c r="H45" s="46"/>
      <c r="I45" s="46"/>
      <c r="J45" s="46"/>
      <c r="K45" s="46"/>
      <c r="L45" s="46"/>
      <c r="M45" s="46"/>
      <c r="N45" s="46"/>
      <c r="O45" s="46"/>
      <c r="P45" s="46"/>
      <c r="Q45" s="46"/>
      <c r="R45" s="46"/>
      <c r="S45" s="46"/>
      <c r="T45" s="46"/>
      <c r="U45" s="46"/>
      <c r="V45" s="46"/>
      <c r="W45" s="46"/>
      <c r="X45" s="46"/>
      <c r="Y45" s="46"/>
    </row>
    <row r="46" spans="1:25" x14ac:dyDescent="0.25">
      <c r="A46" s="7" t="s">
        <v>112</v>
      </c>
      <c r="B46" s="12">
        <v>21000</v>
      </c>
      <c r="C46" s="1" t="s">
        <v>5</v>
      </c>
      <c r="D46" s="12">
        <v>0</v>
      </c>
      <c r="E46" s="1" t="s">
        <v>6</v>
      </c>
      <c r="F46" s="12">
        <v>24</v>
      </c>
      <c r="H46" s="46"/>
      <c r="I46" s="46"/>
      <c r="J46" s="46"/>
      <c r="K46" s="46"/>
      <c r="L46" s="46"/>
      <c r="M46" s="46"/>
      <c r="N46" s="46"/>
      <c r="O46" s="46"/>
      <c r="P46" s="46"/>
      <c r="Q46" s="46"/>
      <c r="R46" s="46"/>
      <c r="S46" s="46"/>
      <c r="T46" s="46"/>
      <c r="U46" s="46"/>
      <c r="V46" s="46"/>
      <c r="W46" s="46"/>
      <c r="X46" s="46"/>
      <c r="Y46" s="46"/>
    </row>
    <row r="47" spans="1:25" x14ac:dyDescent="0.25">
      <c r="A47" s="7" t="s">
        <v>113</v>
      </c>
      <c r="B47" s="12">
        <v>21002</v>
      </c>
      <c r="C47" s="1" t="s">
        <v>5</v>
      </c>
      <c r="D47" s="12">
        <v>0</v>
      </c>
      <c r="E47" s="1" t="s">
        <v>6</v>
      </c>
      <c r="F47" s="12">
        <v>24</v>
      </c>
      <c r="H47" s="46"/>
      <c r="I47" s="46"/>
      <c r="J47" s="46"/>
      <c r="K47" s="46"/>
      <c r="L47" s="46"/>
      <c r="M47" s="46"/>
      <c r="N47" s="46"/>
      <c r="O47" s="46"/>
      <c r="P47" s="46"/>
      <c r="Q47" s="46"/>
      <c r="R47" s="46"/>
      <c r="S47" s="46"/>
      <c r="T47" s="46"/>
      <c r="U47" s="46"/>
      <c r="V47" s="46"/>
      <c r="W47" s="46"/>
      <c r="X47" s="46"/>
      <c r="Y47" s="46"/>
    </row>
    <row r="48" spans="1:25" x14ac:dyDescent="0.25">
      <c r="A48" s="7" t="s">
        <v>114</v>
      </c>
      <c r="B48" s="12">
        <v>21004</v>
      </c>
      <c r="C48" s="1" t="s">
        <v>5</v>
      </c>
      <c r="D48" s="12">
        <v>0</v>
      </c>
      <c r="E48" s="1" t="s">
        <v>6</v>
      </c>
      <c r="F48" s="12">
        <v>24</v>
      </c>
      <c r="H48" s="46"/>
      <c r="I48" s="46"/>
      <c r="J48" s="46"/>
      <c r="K48" s="46"/>
      <c r="L48" s="46"/>
      <c r="M48" s="46"/>
      <c r="N48" s="46"/>
      <c r="O48" s="46"/>
      <c r="P48" s="46"/>
      <c r="Q48" s="46"/>
      <c r="R48" s="46"/>
      <c r="S48" s="46"/>
      <c r="T48" s="46"/>
      <c r="U48" s="46"/>
      <c r="V48" s="46"/>
      <c r="W48" s="46"/>
      <c r="X48" s="46"/>
      <c r="Y48" s="46"/>
    </row>
    <row r="49" spans="1:6" x14ac:dyDescent="0.25">
      <c r="A49" s="7" t="s">
        <v>115</v>
      </c>
      <c r="B49" s="12">
        <v>21006</v>
      </c>
      <c r="C49" s="1" t="s">
        <v>5</v>
      </c>
      <c r="D49" s="12">
        <v>0</v>
      </c>
      <c r="E49" s="1" t="s">
        <v>6</v>
      </c>
      <c r="F49" s="12">
        <v>24</v>
      </c>
    </row>
    <row r="50" spans="1:6" x14ac:dyDescent="0.25">
      <c r="A50" s="7" t="s">
        <v>116</v>
      </c>
      <c r="B50" s="12">
        <v>21008</v>
      </c>
      <c r="C50" s="1" t="s">
        <v>5</v>
      </c>
      <c r="D50" s="12">
        <v>0</v>
      </c>
      <c r="E50" s="1" t="s">
        <v>6</v>
      </c>
      <c r="F50" s="12">
        <v>24</v>
      </c>
    </row>
    <row r="51" spans="1:6" x14ac:dyDescent="0.25">
      <c r="A51" s="7" t="s">
        <v>117</v>
      </c>
      <c r="B51" s="12">
        <v>21010</v>
      </c>
      <c r="C51" s="1" t="s">
        <v>5</v>
      </c>
      <c r="D51" s="12">
        <v>0</v>
      </c>
      <c r="E51" s="1" t="s">
        <v>6</v>
      </c>
      <c r="F51" s="12">
        <v>24</v>
      </c>
    </row>
    <row r="52" spans="1:6" x14ac:dyDescent="0.25">
      <c r="A52" s="7" t="s">
        <v>118</v>
      </c>
      <c r="B52" s="12">
        <v>21012</v>
      </c>
      <c r="C52" s="1" t="s">
        <v>5</v>
      </c>
      <c r="D52" s="12">
        <v>0</v>
      </c>
      <c r="E52" s="1" t="s">
        <v>6</v>
      </c>
      <c r="F52" s="12">
        <v>24</v>
      </c>
    </row>
    <row r="53" spans="1:6" x14ac:dyDescent="0.25">
      <c r="A53" s="7" t="s">
        <v>119</v>
      </c>
      <c r="B53" s="12">
        <v>21014</v>
      </c>
      <c r="C53" s="1" t="s">
        <v>5</v>
      </c>
      <c r="D53" s="12">
        <v>0</v>
      </c>
      <c r="E53" s="1" t="s">
        <v>6</v>
      </c>
      <c r="F53" s="12">
        <v>24</v>
      </c>
    </row>
    <row r="54" spans="1:6" x14ac:dyDescent="0.25">
      <c r="A54" s="9" t="s">
        <v>120</v>
      </c>
      <c r="B54" s="13">
        <v>21016</v>
      </c>
      <c r="C54" s="10" t="s">
        <v>5</v>
      </c>
      <c r="D54" s="13">
        <v>0</v>
      </c>
      <c r="E54" s="10" t="s">
        <v>6</v>
      </c>
      <c r="F54" s="13">
        <v>24</v>
      </c>
    </row>
  </sheetData>
  <mergeCells count="1">
    <mergeCell ref="H9:Y48"/>
  </mergeCells>
  <phoneticPr fontId="10"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topLeftCell="A9" zoomScaleNormal="100" workbookViewId="0">
      <selection activeCell="D17" sqref="D17"/>
    </sheetView>
  </sheetViews>
  <sheetFormatPr defaultColWidth="11" defaultRowHeight="12.75" x14ac:dyDescent="0.2"/>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4" ht="21" x14ac:dyDescent="0.35">
      <c r="A1" s="41" t="s">
        <v>85</v>
      </c>
      <c r="B1" s="40" t="s">
        <v>167</v>
      </c>
    </row>
    <row r="2" spans="1:4" ht="18.75" x14ac:dyDescent="0.3">
      <c r="B2" s="39" t="s">
        <v>166</v>
      </c>
    </row>
    <row r="5" spans="1:4" ht="15" x14ac:dyDescent="0.25">
      <c r="B5" s="1" t="s">
        <v>151</v>
      </c>
    </row>
    <row r="6" spans="1:4" ht="15" x14ac:dyDescent="0.25">
      <c r="A6" s="3" t="s">
        <v>53</v>
      </c>
      <c r="B6" s="49" t="s">
        <v>179</v>
      </c>
    </row>
    <row r="7" spans="1:4" ht="15" x14ac:dyDescent="0.25">
      <c r="A7" s="3" t="s">
        <v>153</v>
      </c>
      <c r="B7" s="49" t="s">
        <v>180</v>
      </c>
    </row>
    <row r="10" spans="1:4" ht="23.25" x14ac:dyDescent="0.35">
      <c r="A10" s="18" t="s">
        <v>162</v>
      </c>
    </row>
    <row r="11" spans="1:4" ht="15" x14ac:dyDescent="0.25">
      <c r="A11" s="31" t="s">
        <v>86</v>
      </c>
      <c r="B11" s="17" t="s">
        <v>87</v>
      </c>
      <c r="C11" s="17" t="s">
        <v>88</v>
      </c>
      <c r="D11" s="45"/>
    </row>
    <row r="12" spans="1:4" ht="15" x14ac:dyDescent="0.25">
      <c r="A12" s="31">
        <v>44927</v>
      </c>
      <c r="B12" s="17" t="s">
        <v>59</v>
      </c>
      <c r="C12" s="17">
        <v>200</v>
      </c>
      <c r="D12" s="45"/>
    </row>
    <row r="13" spans="1:4" ht="15" x14ac:dyDescent="0.25">
      <c r="A13" s="31">
        <v>44928</v>
      </c>
      <c r="B13" s="17" t="s">
        <v>60</v>
      </c>
      <c r="C13" s="17" t="e">
        <v>#N/A</v>
      </c>
      <c r="D13" s="45"/>
    </row>
    <row r="14" spans="1:4" ht="15" x14ac:dyDescent="0.25">
      <c r="A14" s="31">
        <v>44929</v>
      </c>
      <c r="B14" s="17" t="s">
        <v>61</v>
      </c>
      <c r="C14" s="17">
        <v>50</v>
      </c>
      <c r="D14" s="45"/>
    </row>
    <row r="15" spans="1:4" ht="15" x14ac:dyDescent="0.25">
      <c r="A15" s="31">
        <v>44930</v>
      </c>
      <c r="B15" s="17" t="s">
        <v>62</v>
      </c>
      <c r="C15" s="17" t="e">
        <v>#N/A</v>
      </c>
      <c r="D15" s="45"/>
    </row>
    <row r="16" spans="1:4" ht="15" x14ac:dyDescent="0.25">
      <c r="A16" s="31">
        <v>44931</v>
      </c>
      <c r="B16" s="17" t="s">
        <v>63</v>
      </c>
      <c r="C16" s="17">
        <v>10</v>
      </c>
      <c r="D16" s="45"/>
    </row>
    <row r="17" spans="1:4" ht="15" x14ac:dyDescent="0.25">
      <c r="A17" s="31">
        <v>44932</v>
      </c>
      <c r="B17" s="17" t="s">
        <v>154</v>
      </c>
      <c r="C17" s="17">
        <v>150</v>
      </c>
      <c r="D17" s="45"/>
    </row>
    <row r="18" spans="1:4" ht="15" x14ac:dyDescent="0.25">
      <c r="A18" s="31">
        <v>44933</v>
      </c>
      <c r="B18" s="17" t="s">
        <v>155</v>
      </c>
      <c r="C18" s="17">
        <v>80</v>
      </c>
      <c r="D18" s="45"/>
    </row>
    <row r="19" spans="1:4" ht="15" x14ac:dyDescent="0.25">
      <c r="A19" s="31">
        <v>44934</v>
      </c>
      <c r="B19" s="17" t="s">
        <v>156</v>
      </c>
      <c r="C19" s="17" t="e">
        <v>#N/A</v>
      </c>
      <c r="D19" s="45"/>
    </row>
    <row r="20" spans="1:4" ht="15" x14ac:dyDescent="0.25">
      <c r="A20" s="31">
        <v>44935</v>
      </c>
      <c r="B20" s="17" t="s">
        <v>157</v>
      </c>
      <c r="C20" s="17">
        <v>30</v>
      </c>
      <c r="D20" s="45"/>
    </row>
    <row r="21" spans="1:4" ht="15" x14ac:dyDescent="0.25">
      <c r="A21" s="31">
        <v>44936</v>
      </c>
      <c r="B21" s="17" t="s">
        <v>158</v>
      </c>
      <c r="C21" s="17" t="e">
        <v>#N/A</v>
      </c>
      <c r="D21" s="45"/>
    </row>
    <row r="22" spans="1:4" ht="15" x14ac:dyDescent="0.25">
      <c r="B22" s="17" t="s">
        <v>159</v>
      </c>
      <c r="C22" s="17">
        <f>(SUMIF(C12:C21, "&lt;&gt;#N/A", C12:C21) + COUNTIF(C12:C21, "#N/A") * 20)</f>
        <v>600</v>
      </c>
      <c r="D22" s="4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opLeftCell="A16" zoomScaleNormal="100" workbookViewId="0">
      <selection activeCell="C6" sqref="C6"/>
    </sheetView>
  </sheetViews>
  <sheetFormatPr defaultColWidth="11" defaultRowHeight="12.75" x14ac:dyDescent="0.2"/>
  <cols>
    <col min="1" max="1" width="28.1640625" style="2" bestFit="1" customWidth="1"/>
    <col min="2" max="16384" width="11" style="2"/>
  </cols>
  <sheetData>
    <row r="1" spans="1:14" ht="21" x14ac:dyDescent="0.35">
      <c r="A1" s="41" t="s">
        <v>98</v>
      </c>
      <c r="B1" s="40" t="s">
        <v>175</v>
      </c>
    </row>
    <row r="3" spans="1:14" ht="15" x14ac:dyDescent="0.25">
      <c r="B3" s="1" t="s">
        <v>151</v>
      </c>
    </row>
    <row r="4" spans="1:14" ht="18.75" x14ac:dyDescent="0.3">
      <c r="A4" s="42" t="s">
        <v>53</v>
      </c>
      <c r="B4" s="1"/>
      <c r="C4" s="50" t="s">
        <v>181</v>
      </c>
    </row>
    <row r="5" spans="1:14" ht="18.75" x14ac:dyDescent="0.3">
      <c r="A5" s="42" t="s">
        <v>153</v>
      </c>
      <c r="B5" s="1"/>
      <c r="C5" s="50" t="s">
        <v>182</v>
      </c>
    </row>
    <row r="6" spans="1:14" ht="15" x14ac:dyDescent="0.25">
      <c r="A6" s="3"/>
      <c r="B6" s="1"/>
    </row>
    <row r="8" spans="1:14" ht="23.25" x14ac:dyDescent="0.35">
      <c r="A8" s="18" t="s">
        <v>162</v>
      </c>
      <c r="M8" s="18" t="s">
        <v>163</v>
      </c>
    </row>
    <row r="9" spans="1:14" ht="15" x14ac:dyDescent="0.25">
      <c r="A9" s="26"/>
      <c r="B9" s="26" t="s">
        <v>89</v>
      </c>
      <c r="C9" s="26" t="s">
        <v>90</v>
      </c>
      <c r="D9" s="26" t="s">
        <v>91</v>
      </c>
      <c r="E9" s="26" t="s">
        <v>92</v>
      </c>
      <c r="F9" s="26" t="s">
        <v>93</v>
      </c>
      <c r="G9" s="26" t="s">
        <v>94</v>
      </c>
      <c r="H9" s="26" t="s">
        <v>95</v>
      </c>
      <c r="I9" s="26" t="s">
        <v>96</v>
      </c>
      <c r="J9" s="26" t="s">
        <v>97</v>
      </c>
      <c r="M9" s="19" t="s">
        <v>43</v>
      </c>
      <c r="N9" s="19" t="s">
        <v>99</v>
      </c>
    </row>
    <row r="10" spans="1:14" ht="15" x14ac:dyDescent="0.25">
      <c r="A10" s="26" t="s">
        <v>89</v>
      </c>
      <c r="B10" s="25">
        <v>-1</v>
      </c>
      <c r="C10" s="25">
        <v>95</v>
      </c>
      <c r="D10" s="25">
        <v>-1</v>
      </c>
      <c r="E10" s="25">
        <v>185</v>
      </c>
      <c r="F10" s="25">
        <v>255</v>
      </c>
      <c r="G10" s="25">
        <v>305</v>
      </c>
      <c r="H10" s="25">
        <v>415</v>
      </c>
      <c r="I10" s="25">
        <v>480</v>
      </c>
      <c r="J10" s="25">
        <v>525</v>
      </c>
      <c r="M10" s="12">
        <v>10100</v>
      </c>
      <c r="N10" s="12" t="s">
        <v>89</v>
      </c>
    </row>
    <row r="11" spans="1:14" ht="15" x14ac:dyDescent="0.25">
      <c r="A11" s="26" t="s">
        <v>90</v>
      </c>
      <c r="B11" s="25">
        <v>95</v>
      </c>
      <c r="C11" s="25">
        <v>-1</v>
      </c>
      <c r="D11" s="25">
        <v>-1</v>
      </c>
      <c r="E11" s="25">
        <v>90</v>
      </c>
      <c r="F11" s="25">
        <v>160</v>
      </c>
      <c r="G11" s="25">
        <v>210</v>
      </c>
      <c r="H11" s="25">
        <v>325</v>
      </c>
      <c r="I11" s="25">
        <v>390</v>
      </c>
      <c r="J11" s="25">
        <v>430</v>
      </c>
      <c r="M11" s="12">
        <v>10102</v>
      </c>
      <c r="N11" s="12" t="s">
        <v>90</v>
      </c>
    </row>
    <row r="12" spans="1:14" ht="15" x14ac:dyDescent="0.25">
      <c r="A12" s="26" t="s">
        <v>91</v>
      </c>
      <c r="B12" s="25">
        <v>-1</v>
      </c>
      <c r="C12" s="25">
        <v>-1</v>
      </c>
      <c r="D12" s="25">
        <v>-1</v>
      </c>
      <c r="E12" s="25">
        <v>60</v>
      </c>
      <c r="F12" s="25">
        <v>130</v>
      </c>
      <c r="G12" s="25">
        <v>180</v>
      </c>
      <c r="H12" s="25">
        <v>295</v>
      </c>
      <c r="I12" s="25">
        <v>355</v>
      </c>
      <c r="J12" s="25">
        <v>400</v>
      </c>
      <c r="M12" s="12">
        <v>10104</v>
      </c>
      <c r="N12" s="12" t="s">
        <v>91</v>
      </c>
    </row>
    <row r="13" spans="1:14" ht="15" x14ac:dyDescent="0.25">
      <c r="A13" s="26" t="s">
        <v>92</v>
      </c>
      <c r="B13" s="25">
        <v>185</v>
      </c>
      <c r="C13" s="25">
        <v>90</v>
      </c>
      <c r="D13" s="25">
        <v>60</v>
      </c>
      <c r="E13" s="25">
        <v>-1</v>
      </c>
      <c r="F13" s="25">
        <v>70</v>
      </c>
      <c r="G13" s="25">
        <v>120</v>
      </c>
      <c r="H13" s="25">
        <v>235</v>
      </c>
      <c r="I13" s="25">
        <v>300</v>
      </c>
      <c r="J13" s="25">
        <v>340</v>
      </c>
      <c r="M13" s="12">
        <v>10106</v>
      </c>
      <c r="N13" s="12" t="s">
        <v>92</v>
      </c>
    </row>
    <row r="14" spans="1:14" ht="15" x14ac:dyDescent="0.25">
      <c r="A14" s="26" t="s">
        <v>93</v>
      </c>
      <c r="B14" s="25">
        <v>255</v>
      </c>
      <c r="C14" s="25">
        <v>160</v>
      </c>
      <c r="D14" s="25">
        <v>130</v>
      </c>
      <c r="E14" s="25">
        <v>70</v>
      </c>
      <c r="F14" s="25">
        <v>-1</v>
      </c>
      <c r="G14" s="25">
        <v>50</v>
      </c>
      <c r="H14" s="25">
        <v>165</v>
      </c>
      <c r="I14" s="25">
        <v>230</v>
      </c>
      <c r="J14" s="25">
        <v>270</v>
      </c>
      <c r="M14" s="12">
        <v>10108</v>
      </c>
      <c r="N14" s="12" t="s">
        <v>93</v>
      </c>
    </row>
    <row r="15" spans="1:14" ht="15" x14ac:dyDescent="0.25">
      <c r="A15" s="26" t="s">
        <v>94</v>
      </c>
      <c r="B15" s="25">
        <v>305</v>
      </c>
      <c r="C15" s="25">
        <v>210</v>
      </c>
      <c r="D15" s="25">
        <v>180</v>
      </c>
      <c r="E15" s="25">
        <v>120</v>
      </c>
      <c r="F15" s="25">
        <v>50</v>
      </c>
      <c r="G15" s="25">
        <v>-1</v>
      </c>
      <c r="H15" s="25">
        <v>115</v>
      </c>
      <c r="I15" s="25">
        <v>180</v>
      </c>
      <c r="J15" s="25">
        <v>220</v>
      </c>
      <c r="M15" s="12">
        <v>10110</v>
      </c>
      <c r="N15" s="12" t="s">
        <v>94</v>
      </c>
    </row>
    <row r="16" spans="1:14" ht="15" x14ac:dyDescent="0.25">
      <c r="A16" s="26" t="s">
        <v>95</v>
      </c>
      <c r="B16" s="25">
        <v>415</v>
      </c>
      <c r="C16" s="25">
        <v>325</v>
      </c>
      <c r="D16" s="25">
        <v>295</v>
      </c>
      <c r="E16" s="25">
        <v>235</v>
      </c>
      <c r="F16" s="25">
        <v>165</v>
      </c>
      <c r="G16" s="25">
        <v>115</v>
      </c>
      <c r="H16" s="25">
        <v>-1</v>
      </c>
      <c r="I16" s="25">
        <v>65</v>
      </c>
      <c r="J16" s="25">
        <v>105</v>
      </c>
      <c r="M16" s="12">
        <v>10112</v>
      </c>
      <c r="N16" s="12" t="s">
        <v>95</v>
      </c>
    </row>
    <row r="17" spans="1:14" ht="15" x14ac:dyDescent="0.25">
      <c r="A17" s="26" t="s">
        <v>96</v>
      </c>
      <c r="B17" s="25">
        <v>480</v>
      </c>
      <c r="C17" s="25">
        <v>390</v>
      </c>
      <c r="D17" s="25">
        <v>355</v>
      </c>
      <c r="E17" s="25">
        <v>300</v>
      </c>
      <c r="F17" s="25">
        <v>230</v>
      </c>
      <c r="G17" s="25">
        <v>180</v>
      </c>
      <c r="H17" s="25">
        <v>65</v>
      </c>
      <c r="I17" s="25">
        <v>-1</v>
      </c>
      <c r="J17" s="25">
        <v>40</v>
      </c>
      <c r="M17" s="12">
        <v>10114</v>
      </c>
      <c r="N17" s="12" t="s">
        <v>96</v>
      </c>
    </row>
    <row r="18" spans="1:14" ht="15" x14ac:dyDescent="0.25">
      <c r="A18" s="26" t="s">
        <v>97</v>
      </c>
      <c r="B18" s="25">
        <v>525</v>
      </c>
      <c r="C18" s="25">
        <v>430</v>
      </c>
      <c r="D18" s="25">
        <v>400</v>
      </c>
      <c r="E18" s="25">
        <v>340</v>
      </c>
      <c r="F18" s="25">
        <v>270</v>
      </c>
      <c r="G18" s="25">
        <v>220</v>
      </c>
      <c r="H18" s="25">
        <v>105</v>
      </c>
      <c r="I18" s="25">
        <v>40</v>
      </c>
      <c r="J18" s="25">
        <v>-1</v>
      </c>
      <c r="M18" s="13">
        <v>10116</v>
      </c>
      <c r="N18" s="13" t="s">
        <v>97</v>
      </c>
    </row>
    <row r="21" spans="1:14" ht="23.25" x14ac:dyDescent="0.35">
      <c r="A21" s="18" t="s">
        <v>168</v>
      </c>
    </row>
    <row r="22" spans="1:14" ht="15" x14ac:dyDescent="0.25">
      <c r="A22" s="14" t="s">
        <v>100</v>
      </c>
      <c r="B22" s="17" t="s">
        <v>101</v>
      </c>
      <c r="C22" s="16" t="s">
        <v>102</v>
      </c>
    </row>
    <row r="23" spans="1:14" ht="15" x14ac:dyDescent="0.25">
      <c r="A23" s="7">
        <v>10100</v>
      </c>
      <c r="B23" s="12">
        <v>10102</v>
      </c>
      <c r="C23" s="2">
        <f>INDEX($A$9:$J$18,MATCH(VLOOKUP(A23,$M$10:$N$18,2,0), $A$9:$J$9, 0),MATCH(VLOOKUP(B23,$M$10:$N$18,2,0),$A$9:$A$18,0))</f>
        <v>95</v>
      </c>
    </row>
    <row r="24" spans="1:14" ht="15" x14ac:dyDescent="0.25">
      <c r="A24" s="7">
        <v>10100</v>
      </c>
      <c r="B24" s="12">
        <v>10104</v>
      </c>
      <c r="C24" s="2">
        <f t="shared" ref="C24:C35" si="0">INDEX($A$9:$J$18,MATCH(VLOOKUP(A24,$M$10:$N$18,2,0), $A$9:$J$9, 0),MATCH(VLOOKUP(B24,$M$10:$N$18,2,0),$A$9:$A$18,0))</f>
        <v>-1</v>
      </c>
    </row>
    <row r="25" spans="1:14" ht="15" x14ac:dyDescent="0.25">
      <c r="A25" s="7">
        <v>10108</v>
      </c>
      <c r="B25" s="12">
        <v>10102</v>
      </c>
      <c r="C25" s="2">
        <f t="shared" si="0"/>
        <v>160</v>
      </c>
    </row>
    <row r="26" spans="1:14" ht="15" x14ac:dyDescent="0.25">
      <c r="A26" s="7">
        <v>10100</v>
      </c>
      <c r="B26" s="12">
        <v>10106</v>
      </c>
      <c r="C26" s="2">
        <f t="shared" si="0"/>
        <v>185</v>
      </c>
    </row>
    <row r="27" spans="1:14" ht="15" x14ac:dyDescent="0.25">
      <c r="A27" s="7">
        <v>10108</v>
      </c>
      <c r="B27" s="12">
        <v>10110</v>
      </c>
      <c r="C27" s="2">
        <f t="shared" si="0"/>
        <v>50</v>
      </c>
    </row>
    <row r="28" spans="1:14" ht="15" x14ac:dyDescent="0.25">
      <c r="A28" s="7">
        <v>10102</v>
      </c>
      <c r="B28" s="12">
        <v>10104</v>
      </c>
      <c r="C28" s="2">
        <f t="shared" si="0"/>
        <v>-1</v>
      </c>
    </row>
    <row r="29" spans="1:14" ht="15" x14ac:dyDescent="0.25">
      <c r="A29" s="7">
        <v>10106</v>
      </c>
      <c r="B29" s="12">
        <v>10108</v>
      </c>
      <c r="C29" s="2">
        <f t="shared" si="0"/>
        <v>70</v>
      </c>
    </row>
    <row r="30" spans="1:14" ht="15" x14ac:dyDescent="0.25">
      <c r="A30" s="7">
        <v>10102</v>
      </c>
      <c r="B30" s="12">
        <v>10106</v>
      </c>
      <c r="C30" s="2">
        <f t="shared" si="0"/>
        <v>90</v>
      </c>
    </row>
    <row r="31" spans="1:14" ht="15" x14ac:dyDescent="0.25">
      <c r="A31" s="7">
        <v>10110</v>
      </c>
      <c r="B31" s="12">
        <v>10114</v>
      </c>
      <c r="C31" s="2">
        <f t="shared" si="0"/>
        <v>180</v>
      </c>
    </row>
    <row r="32" spans="1:14" ht="15" x14ac:dyDescent="0.25">
      <c r="A32" s="7">
        <v>10104</v>
      </c>
      <c r="B32" s="12">
        <v>10106</v>
      </c>
      <c r="C32" s="2">
        <f t="shared" si="0"/>
        <v>60</v>
      </c>
    </row>
    <row r="33" spans="1:3" ht="15" x14ac:dyDescent="0.25">
      <c r="A33" s="7">
        <v>10110</v>
      </c>
      <c r="B33" s="12">
        <v>10112</v>
      </c>
      <c r="C33" s="2">
        <f t="shared" si="0"/>
        <v>115</v>
      </c>
    </row>
    <row r="34" spans="1:3" ht="15" x14ac:dyDescent="0.25">
      <c r="A34" s="7">
        <v>10100</v>
      </c>
      <c r="B34" s="12">
        <v>10114</v>
      </c>
      <c r="C34" s="2">
        <f t="shared" si="0"/>
        <v>480</v>
      </c>
    </row>
    <row r="35" spans="1:3" ht="15" x14ac:dyDescent="0.25">
      <c r="A35" s="9">
        <v>10112</v>
      </c>
      <c r="B35" s="13">
        <v>10116</v>
      </c>
      <c r="C35" s="2">
        <f t="shared" si="0"/>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rahul patil</cp:lastModifiedBy>
  <dcterms:created xsi:type="dcterms:W3CDTF">2015-02-10T17:33:11Z</dcterms:created>
  <dcterms:modified xsi:type="dcterms:W3CDTF">2023-12-10T06:17:24Z</dcterms:modified>
</cp:coreProperties>
</file>